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mxi\Research\Comparison_with_Deepsoil\RHS\"/>
    </mc:Choice>
  </mc:AlternateContent>
  <xr:revisionPtr revIDLastSave="0" documentId="13_ncr:1_{155A1576-09EC-4B10-9FB9-8B0A685631AB}" xr6:coauthVersionLast="47" xr6:coauthVersionMax="47" xr10:uidLastSave="{00000000-0000-0000-0000-000000000000}"/>
  <bookViews>
    <workbookView xWindow="2985" yWindow="3690" windowWidth="38700" windowHeight="15345" activeTab="4" xr2:uid="{00000000-000D-0000-FFFF-FFFF00000000}"/>
  </bookViews>
  <sheets>
    <sheet name="Full Profile" sheetId="1" r:id="rId1"/>
    <sheet name="195m_Profile" sheetId="2" r:id="rId2"/>
    <sheet name="CESMD_Profile" sheetId="3" r:id="rId3"/>
    <sheet name="Data Analysis" sheetId="4" r:id="rId4"/>
    <sheet name="Scaled_Dmin_to_Kappa_0.03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2" i="5"/>
  <c r="R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R173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R157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L82" i="4"/>
  <c r="O81" i="4"/>
  <c r="L81" i="4"/>
  <c r="O80" i="4"/>
  <c r="L80" i="4"/>
  <c r="O79" i="4"/>
  <c r="L79" i="4"/>
  <c r="O78" i="4"/>
  <c r="L78" i="4"/>
  <c r="O77" i="4"/>
  <c r="L77" i="4"/>
  <c r="O76" i="4"/>
  <c r="L76" i="4"/>
  <c r="O75" i="4"/>
  <c r="L75" i="4"/>
  <c r="O74" i="4"/>
  <c r="L74" i="4"/>
  <c r="O73" i="4"/>
  <c r="L73" i="4"/>
  <c r="O72" i="4"/>
  <c r="L72" i="4"/>
  <c r="O71" i="4"/>
  <c r="L71" i="4"/>
  <c r="O70" i="4"/>
  <c r="L70" i="4"/>
  <c r="O69" i="4"/>
  <c r="L69" i="4"/>
  <c r="O68" i="4"/>
  <c r="L68" i="4"/>
  <c r="O67" i="4"/>
  <c r="L67" i="4"/>
  <c r="O66" i="4"/>
  <c r="L66" i="4"/>
  <c r="O65" i="4"/>
  <c r="L65" i="4"/>
  <c r="O64" i="4"/>
  <c r="L64" i="4"/>
  <c r="O63" i="4"/>
  <c r="L63" i="4"/>
  <c r="O62" i="4"/>
  <c r="L62" i="4"/>
  <c r="O61" i="4"/>
  <c r="L61" i="4"/>
  <c r="O60" i="4"/>
  <c r="L60" i="4"/>
  <c r="O59" i="4"/>
  <c r="L59" i="4"/>
  <c r="O58" i="4"/>
  <c r="L58" i="4"/>
  <c r="O57" i="4"/>
  <c r="L57" i="4"/>
  <c r="O56" i="4"/>
  <c r="L56" i="4"/>
  <c r="O55" i="4"/>
  <c r="L55" i="4"/>
  <c r="O54" i="4"/>
  <c r="L54" i="4"/>
  <c r="O53" i="4"/>
  <c r="L53" i="4"/>
  <c r="O52" i="4"/>
  <c r="L52" i="4"/>
  <c r="O51" i="4"/>
  <c r="L51" i="4"/>
  <c r="O50" i="4"/>
  <c r="L50" i="4"/>
  <c r="O49" i="4"/>
  <c r="L49" i="4"/>
  <c r="O48" i="4"/>
  <c r="L48" i="4"/>
  <c r="O47" i="4"/>
  <c r="L47" i="4"/>
  <c r="O46" i="4"/>
  <c r="L46" i="4"/>
  <c r="O45" i="4"/>
  <c r="L45" i="4"/>
  <c r="O44" i="4"/>
  <c r="L44" i="4"/>
  <c r="O43" i="4"/>
  <c r="L43" i="4"/>
  <c r="O42" i="4"/>
  <c r="L42" i="4"/>
  <c r="O41" i="4"/>
  <c r="L41" i="4"/>
  <c r="O40" i="4"/>
  <c r="L40" i="4"/>
  <c r="O39" i="4"/>
  <c r="L39" i="4"/>
  <c r="O38" i="4"/>
  <c r="L38" i="4"/>
  <c r="O37" i="4"/>
  <c r="L37" i="4"/>
  <c r="O36" i="4"/>
  <c r="L36" i="4"/>
  <c r="V35" i="4"/>
  <c r="O35" i="4"/>
  <c r="L35" i="4"/>
  <c r="O34" i="4"/>
  <c r="L34" i="4"/>
  <c r="O33" i="4"/>
  <c r="L33" i="4"/>
  <c r="O32" i="4"/>
  <c r="L32" i="4"/>
  <c r="O31" i="4"/>
  <c r="L31" i="4"/>
  <c r="O30" i="4"/>
  <c r="L30" i="4"/>
  <c r="O29" i="4"/>
  <c r="L29" i="4"/>
  <c r="O28" i="4"/>
  <c r="L28" i="4"/>
  <c r="O27" i="4"/>
  <c r="L27" i="4"/>
  <c r="O26" i="4"/>
  <c r="L26" i="4"/>
  <c r="O25" i="4"/>
  <c r="L25" i="4"/>
  <c r="O24" i="4"/>
  <c r="L24" i="4"/>
  <c r="O23" i="4"/>
  <c r="L23" i="4"/>
  <c r="O22" i="4"/>
  <c r="L22" i="4"/>
  <c r="O21" i="4"/>
  <c r="L21" i="4"/>
  <c r="O20" i="4"/>
  <c r="L20" i="4"/>
  <c r="O19" i="4"/>
  <c r="L19" i="4"/>
  <c r="O18" i="4"/>
  <c r="L18" i="4"/>
  <c r="O17" i="4"/>
  <c r="L17" i="4"/>
  <c r="O16" i="4"/>
  <c r="L16" i="4"/>
  <c r="O15" i="4"/>
  <c r="L15" i="4"/>
  <c r="O14" i="4"/>
  <c r="L14" i="4"/>
  <c r="O13" i="4"/>
  <c r="L13" i="4"/>
  <c r="O12" i="4"/>
  <c r="L12" i="4"/>
  <c r="O11" i="4"/>
  <c r="L11" i="4"/>
  <c r="O10" i="4"/>
  <c r="L10" i="4"/>
  <c r="O9" i="4"/>
  <c r="L9" i="4"/>
  <c r="O8" i="4"/>
  <c r="L8" i="4"/>
  <c r="X7" i="4"/>
  <c r="O7" i="4"/>
  <c r="L7" i="4"/>
  <c r="X6" i="4"/>
  <c r="O6" i="4"/>
  <c r="L6" i="4"/>
  <c r="AB5" i="4" a="1"/>
  <c r="AB5" i="4" s="1"/>
  <c r="X5" i="4"/>
  <c r="O5" i="4"/>
  <c r="L5" i="4"/>
  <c r="AB4" i="4" a="1"/>
  <c r="AB4" i="4" s="1"/>
  <c r="X4" i="4"/>
  <c r="U4" i="4"/>
  <c r="U5" i="4" s="1"/>
  <c r="O4" i="4"/>
  <c r="L4" i="4"/>
  <c r="AB3" i="4" a="1"/>
  <c r="AB3" i="4" s="1"/>
  <c r="X3" i="4"/>
  <c r="V3" i="4"/>
  <c r="L3" i="4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H4" i="3"/>
  <c r="I4" i="3" s="1"/>
  <c r="D4" i="3"/>
  <c r="O31" i="2"/>
  <c r="E31" i="2"/>
  <c r="O30" i="2"/>
  <c r="E30" i="2"/>
  <c r="O29" i="2"/>
  <c r="E29" i="2"/>
  <c r="O28" i="2"/>
  <c r="E28" i="2"/>
  <c r="O27" i="2"/>
  <c r="E27" i="2"/>
  <c r="O26" i="2"/>
  <c r="E26" i="2"/>
  <c r="O25" i="2"/>
  <c r="E25" i="2"/>
  <c r="O24" i="2"/>
  <c r="E24" i="2"/>
  <c r="O23" i="2"/>
  <c r="E23" i="2"/>
  <c r="O22" i="2"/>
  <c r="E22" i="2"/>
  <c r="O21" i="2"/>
  <c r="E21" i="2"/>
  <c r="O20" i="2"/>
  <c r="E20" i="2"/>
  <c r="O19" i="2"/>
  <c r="E19" i="2"/>
  <c r="O18" i="2"/>
  <c r="E18" i="2"/>
  <c r="O17" i="2"/>
  <c r="E17" i="2"/>
  <c r="O16" i="2"/>
  <c r="E16" i="2"/>
  <c r="O15" i="2"/>
  <c r="E15" i="2"/>
  <c r="O14" i="2"/>
  <c r="E14" i="2"/>
  <c r="O13" i="2"/>
  <c r="E13" i="2"/>
  <c r="O12" i="2"/>
  <c r="E12" i="2"/>
  <c r="O11" i="2"/>
  <c r="E11" i="2"/>
  <c r="O10" i="2"/>
  <c r="E10" i="2"/>
  <c r="O9" i="2"/>
  <c r="E9" i="2"/>
  <c r="E8" i="2"/>
  <c r="E7" i="2"/>
  <c r="E6" i="2"/>
  <c r="D6" i="2"/>
  <c r="F5" i="2"/>
  <c r="E5" i="2"/>
  <c r="F4" i="2"/>
  <c r="E4" i="2"/>
  <c r="J4" i="2" s="1"/>
  <c r="L4" i="2" s="1"/>
  <c r="D4" i="2"/>
  <c r="D5" i="2" s="1"/>
  <c r="H312" i="1"/>
  <c r="I312" i="1" s="1"/>
  <c r="E312" i="1"/>
  <c r="D312" i="1"/>
  <c r="E297" i="1" s="1"/>
  <c r="H311" i="1"/>
  <c r="I311" i="1" s="1"/>
  <c r="E311" i="1"/>
  <c r="D311" i="1"/>
  <c r="D310" i="1"/>
  <c r="H310" i="1" s="1"/>
  <c r="I310" i="1" s="1"/>
  <c r="D309" i="1"/>
  <c r="H309" i="1" s="1"/>
  <c r="I309" i="1" s="1"/>
  <c r="D308" i="1"/>
  <c r="H308" i="1" s="1"/>
  <c r="I308" i="1" s="1"/>
  <c r="D307" i="1"/>
  <c r="I306" i="1"/>
  <c r="D306" i="1"/>
  <c r="H306" i="1" s="1"/>
  <c r="H305" i="1"/>
  <c r="I305" i="1" s="1"/>
  <c r="D305" i="1"/>
  <c r="H304" i="1"/>
  <c r="I304" i="1" s="1"/>
  <c r="D304" i="1"/>
  <c r="H303" i="1"/>
  <c r="I303" i="1" s="1"/>
  <c r="E303" i="1"/>
  <c r="D303" i="1"/>
  <c r="D302" i="1"/>
  <c r="H302" i="1" s="1"/>
  <c r="I302" i="1" s="1"/>
  <c r="D301" i="1"/>
  <c r="D300" i="1"/>
  <c r="H300" i="1" s="1"/>
  <c r="I300" i="1" s="1"/>
  <c r="I299" i="1"/>
  <c r="D299" i="1"/>
  <c r="H299" i="1" s="1"/>
  <c r="I298" i="1"/>
  <c r="D298" i="1"/>
  <c r="H298" i="1" s="1"/>
  <c r="H297" i="1"/>
  <c r="I297" i="1" s="1"/>
  <c r="D297" i="1"/>
  <c r="H296" i="1"/>
  <c r="I296" i="1" s="1"/>
  <c r="D296" i="1"/>
  <c r="H295" i="1"/>
  <c r="I295" i="1" s="1"/>
  <c r="E295" i="1"/>
  <c r="D295" i="1"/>
  <c r="D294" i="1"/>
  <c r="H294" i="1" s="1"/>
  <c r="I294" i="1" s="1"/>
  <c r="D293" i="1"/>
  <c r="H293" i="1" s="1"/>
  <c r="I293" i="1" s="1"/>
  <c r="D292" i="1"/>
  <c r="H292" i="1" s="1"/>
  <c r="I292" i="1" s="1"/>
  <c r="D291" i="1"/>
  <c r="I290" i="1"/>
  <c r="D290" i="1"/>
  <c r="H290" i="1" s="1"/>
  <c r="H289" i="1"/>
  <c r="I289" i="1" s="1"/>
  <c r="D289" i="1"/>
  <c r="H288" i="1"/>
  <c r="I288" i="1" s="1"/>
  <c r="D288" i="1"/>
  <c r="H287" i="1"/>
  <c r="I287" i="1" s="1"/>
  <c r="E287" i="1"/>
  <c r="D287" i="1"/>
  <c r="D286" i="1"/>
  <c r="H286" i="1" s="1"/>
  <c r="I286" i="1" s="1"/>
  <c r="D285" i="1"/>
  <c r="D284" i="1"/>
  <c r="H284" i="1" s="1"/>
  <c r="I284" i="1" s="1"/>
  <c r="I283" i="1"/>
  <c r="D283" i="1"/>
  <c r="H283" i="1" s="1"/>
  <c r="I282" i="1"/>
  <c r="D282" i="1"/>
  <c r="H282" i="1" s="1"/>
  <c r="H281" i="1"/>
  <c r="I281" i="1" s="1"/>
  <c r="D281" i="1"/>
  <c r="H280" i="1"/>
  <c r="I280" i="1" s="1"/>
  <c r="D280" i="1"/>
  <c r="H279" i="1"/>
  <c r="I279" i="1" s="1"/>
  <c r="E279" i="1"/>
  <c r="D279" i="1"/>
  <c r="D278" i="1"/>
  <c r="H278" i="1" s="1"/>
  <c r="I278" i="1" s="1"/>
  <c r="D277" i="1"/>
  <c r="H277" i="1" s="1"/>
  <c r="I277" i="1" s="1"/>
  <c r="D276" i="1"/>
  <c r="H276" i="1" s="1"/>
  <c r="I276" i="1" s="1"/>
  <c r="D275" i="1"/>
  <c r="I274" i="1"/>
  <c r="D274" i="1"/>
  <c r="H274" i="1" s="1"/>
  <c r="H273" i="1"/>
  <c r="I273" i="1" s="1"/>
  <c r="D273" i="1"/>
  <c r="H272" i="1"/>
  <c r="I272" i="1" s="1"/>
  <c r="D272" i="1"/>
  <c r="H271" i="1"/>
  <c r="I271" i="1" s="1"/>
  <c r="E271" i="1"/>
  <c r="D271" i="1"/>
  <c r="D270" i="1"/>
  <c r="H270" i="1" s="1"/>
  <c r="I270" i="1" s="1"/>
  <c r="D269" i="1"/>
  <c r="D268" i="1"/>
  <c r="H268" i="1" s="1"/>
  <c r="I268" i="1" s="1"/>
  <c r="I267" i="1"/>
  <c r="D267" i="1"/>
  <c r="H267" i="1" s="1"/>
  <c r="I266" i="1"/>
  <c r="D266" i="1"/>
  <c r="H266" i="1" s="1"/>
  <c r="H265" i="1"/>
  <c r="I265" i="1" s="1"/>
  <c r="D265" i="1"/>
  <c r="H264" i="1"/>
  <c r="I264" i="1" s="1"/>
  <c r="D264" i="1"/>
  <c r="H263" i="1"/>
  <c r="I263" i="1" s="1"/>
  <c r="E263" i="1"/>
  <c r="D263" i="1"/>
  <c r="H262" i="1"/>
  <c r="I262" i="1" s="1"/>
  <c r="E262" i="1"/>
  <c r="E310" i="1" s="1"/>
  <c r="D262" i="1"/>
  <c r="H261" i="1"/>
  <c r="I261" i="1" s="1"/>
  <c r="E261" i="1"/>
  <c r="D261" i="1"/>
  <c r="D260" i="1"/>
  <c r="H260" i="1" s="1"/>
  <c r="I260" i="1" s="1"/>
  <c r="D259" i="1"/>
  <c r="H259" i="1" s="1"/>
  <c r="I259" i="1" s="1"/>
  <c r="D258" i="1"/>
  <c r="H258" i="1" s="1"/>
  <c r="I258" i="1" s="1"/>
  <c r="D257" i="1"/>
  <c r="H257" i="1" s="1"/>
  <c r="I257" i="1" s="1"/>
  <c r="I256" i="1"/>
  <c r="D256" i="1"/>
  <c r="H256" i="1" s="1"/>
  <c r="H255" i="1"/>
  <c r="I255" i="1" s="1"/>
  <c r="D255" i="1"/>
  <c r="H254" i="1"/>
  <c r="I254" i="1" s="1"/>
  <c r="D254" i="1"/>
  <c r="H253" i="1"/>
  <c r="I253" i="1" s="1"/>
  <c r="E253" i="1"/>
  <c r="D253" i="1"/>
  <c r="H252" i="1"/>
  <c r="I252" i="1" s="1"/>
  <c r="D252" i="1"/>
  <c r="D251" i="1"/>
  <c r="H251" i="1" s="1"/>
  <c r="I251" i="1" s="1"/>
  <c r="D250" i="1"/>
  <c r="H250" i="1" s="1"/>
  <c r="I250" i="1" s="1"/>
  <c r="D249" i="1"/>
  <c r="H249" i="1" s="1"/>
  <c r="I249" i="1" s="1"/>
  <c r="I248" i="1"/>
  <c r="D248" i="1"/>
  <c r="H248" i="1" s="1"/>
  <c r="I247" i="1"/>
  <c r="H247" i="1"/>
  <c r="D247" i="1"/>
  <c r="H246" i="1"/>
  <c r="I246" i="1" s="1"/>
  <c r="D246" i="1"/>
  <c r="H245" i="1"/>
  <c r="I245" i="1" s="1"/>
  <c r="E245" i="1"/>
  <c r="D245" i="1"/>
  <c r="D244" i="1"/>
  <c r="H244" i="1" s="1"/>
  <c r="I244" i="1" s="1"/>
  <c r="D243" i="1"/>
  <c r="H243" i="1" s="1"/>
  <c r="I243" i="1" s="1"/>
  <c r="D242" i="1"/>
  <c r="H242" i="1" s="1"/>
  <c r="I242" i="1" s="1"/>
  <c r="D241" i="1"/>
  <c r="I240" i="1"/>
  <c r="D240" i="1"/>
  <c r="H240" i="1" s="1"/>
  <c r="H239" i="1"/>
  <c r="I239" i="1" s="1"/>
  <c r="D239" i="1"/>
  <c r="H238" i="1"/>
  <c r="I238" i="1" s="1"/>
  <c r="D238" i="1"/>
  <c r="H237" i="1"/>
  <c r="I237" i="1" s="1"/>
  <c r="E237" i="1"/>
  <c r="D237" i="1"/>
  <c r="H236" i="1"/>
  <c r="I236" i="1" s="1"/>
  <c r="D236" i="1"/>
  <c r="D235" i="1"/>
  <c r="H235" i="1" s="1"/>
  <c r="I235" i="1" s="1"/>
  <c r="D234" i="1"/>
  <c r="H234" i="1" s="1"/>
  <c r="I234" i="1" s="1"/>
  <c r="D233" i="1"/>
  <c r="H233" i="1" s="1"/>
  <c r="I233" i="1" s="1"/>
  <c r="I232" i="1"/>
  <c r="D232" i="1"/>
  <c r="H232" i="1" s="1"/>
  <c r="I231" i="1"/>
  <c r="H231" i="1"/>
  <c r="D231" i="1"/>
  <c r="H230" i="1"/>
  <c r="I230" i="1" s="1"/>
  <c r="D230" i="1"/>
  <c r="H229" i="1"/>
  <c r="I229" i="1" s="1"/>
  <c r="E229" i="1"/>
  <c r="D229" i="1"/>
  <c r="D228" i="1"/>
  <c r="H228" i="1" s="1"/>
  <c r="I228" i="1" s="1"/>
  <c r="D227" i="1"/>
  <c r="H227" i="1" s="1"/>
  <c r="I227" i="1" s="1"/>
  <c r="D226" i="1"/>
  <c r="H226" i="1" s="1"/>
  <c r="I226" i="1" s="1"/>
  <c r="D225" i="1"/>
  <c r="I224" i="1"/>
  <c r="D224" i="1"/>
  <c r="H224" i="1" s="1"/>
  <c r="H223" i="1"/>
  <c r="I223" i="1" s="1"/>
  <c r="D223" i="1"/>
  <c r="H222" i="1"/>
  <c r="I222" i="1" s="1"/>
  <c r="D222" i="1"/>
  <c r="H221" i="1"/>
  <c r="I221" i="1" s="1"/>
  <c r="E221" i="1"/>
  <c r="D221" i="1"/>
  <c r="H220" i="1"/>
  <c r="I220" i="1" s="1"/>
  <c r="D220" i="1"/>
  <c r="D219" i="1"/>
  <c r="H219" i="1" s="1"/>
  <c r="I219" i="1" s="1"/>
  <c r="D218" i="1"/>
  <c r="H218" i="1" s="1"/>
  <c r="I218" i="1" s="1"/>
  <c r="D217" i="1"/>
  <c r="H217" i="1" s="1"/>
  <c r="I217" i="1" s="1"/>
  <c r="I216" i="1"/>
  <c r="D216" i="1"/>
  <c r="H216" i="1" s="1"/>
  <c r="I215" i="1"/>
  <c r="H215" i="1"/>
  <c r="D215" i="1"/>
  <c r="H214" i="1"/>
  <c r="I214" i="1" s="1"/>
  <c r="D214" i="1"/>
  <c r="H213" i="1"/>
  <c r="I213" i="1" s="1"/>
  <c r="E213" i="1"/>
  <c r="D213" i="1"/>
  <c r="D212" i="1"/>
  <c r="H212" i="1" s="1"/>
  <c r="I212" i="1" s="1"/>
  <c r="D211" i="1"/>
  <c r="H211" i="1" s="1"/>
  <c r="I211" i="1" s="1"/>
  <c r="D210" i="1"/>
  <c r="H210" i="1" s="1"/>
  <c r="I210" i="1" s="1"/>
  <c r="D209" i="1"/>
  <c r="I208" i="1"/>
  <c r="D208" i="1"/>
  <c r="H208" i="1" s="1"/>
  <c r="H207" i="1"/>
  <c r="I207" i="1" s="1"/>
  <c r="D207" i="1"/>
  <c r="H206" i="1"/>
  <c r="I206" i="1" s="1"/>
  <c r="D206" i="1"/>
  <c r="H205" i="1"/>
  <c r="I205" i="1" s="1"/>
  <c r="E205" i="1"/>
  <c r="D205" i="1"/>
  <c r="H204" i="1"/>
  <c r="I204" i="1" s="1"/>
  <c r="D204" i="1"/>
  <c r="D203" i="1"/>
  <c r="H203" i="1" s="1"/>
  <c r="I203" i="1" s="1"/>
  <c r="D202" i="1"/>
  <c r="H202" i="1" s="1"/>
  <c r="I202" i="1" s="1"/>
  <c r="D201" i="1"/>
  <c r="H201" i="1" s="1"/>
  <c r="I201" i="1" s="1"/>
  <c r="I200" i="1"/>
  <c r="D200" i="1"/>
  <c r="H200" i="1" s="1"/>
  <c r="H199" i="1"/>
  <c r="I199" i="1" s="1"/>
  <c r="D199" i="1"/>
  <c r="H198" i="1"/>
  <c r="I198" i="1" s="1"/>
  <c r="D198" i="1"/>
  <c r="I197" i="1"/>
  <c r="H197" i="1"/>
  <c r="E197" i="1"/>
  <c r="D197" i="1"/>
  <c r="D196" i="1"/>
  <c r="H196" i="1" s="1"/>
  <c r="I196" i="1" s="1"/>
  <c r="D195" i="1"/>
  <c r="E195" i="1" s="1"/>
  <c r="D194" i="1"/>
  <c r="H194" i="1" s="1"/>
  <c r="I194" i="1" s="1"/>
  <c r="I193" i="1"/>
  <c r="E193" i="1"/>
  <c r="D193" i="1"/>
  <c r="H193" i="1" s="1"/>
  <c r="D192" i="1"/>
  <c r="H192" i="1" s="1"/>
  <c r="I192" i="1" s="1"/>
  <c r="D191" i="1"/>
  <c r="H191" i="1" s="1"/>
  <c r="I191" i="1" s="1"/>
  <c r="I190" i="1"/>
  <c r="H190" i="1"/>
  <c r="D190" i="1"/>
  <c r="H189" i="1"/>
  <c r="I189" i="1" s="1"/>
  <c r="E189" i="1"/>
  <c r="D189" i="1"/>
  <c r="D188" i="1"/>
  <c r="H188" i="1" s="1"/>
  <c r="I188" i="1" s="1"/>
  <c r="D187" i="1"/>
  <c r="H187" i="1" s="1"/>
  <c r="I187" i="1" s="1"/>
  <c r="H186" i="1"/>
  <c r="I186" i="1" s="1"/>
  <c r="D186" i="1"/>
  <c r="D185" i="1"/>
  <c r="H185" i="1" s="1"/>
  <c r="I185" i="1" s="1"/>
  <c r="D184" i="1"/>
  <c r="H184" i="1" s="1"/>
  <c r="I184" i="1" s="1"/>
  <c r="I183" i="1"/>
  <c r="H183" i="1"/>
  <c r="D183" i="1"/>
  <c r="H182" i="1"/>
  <c r="I182" i="1" s="1"/>
  <c r="D182" i="1"/>
  <c r="H181" i="1"/>
  <c r="I181" i="1" s="1"/>
  <c r="E181" i="1"/>
  <c r="D181" i="1"/>
  <c r="D180" i="1"/>
  <c r="H180" i="1" s="1"/>
  <c r="I180" i="1" s="1"/>
  <c r="D179" i="1"/>
  <c r="H179" i="1" s="1"/>
  <c r="I179" i="1" s="1"/>
  <c r="D178" i="1"/>
  <c r="H178" i="1" s="1"/>
  <c r="I178" i="1" s="1"/>
  <c r="D177" i="1"/>
  <c r="H177" i="1" s="1"/>
  <c r="I177" i="1" s="1"/>
  <c r="I176" i="1"/>
  <c r="D176" i="1"/>
  <c r="H176" i="1" s="1"/>
  <c r="D175" i="1"/>
  <c r="H175" i="1" s="1"/>
  <c r="I175" i="1" s="1"/>
  <c r="H174" i="1"/>
  <c r="I174" i="1" s="1"/>
  <c r="D174" i="1"/>
  <c r="H173" i="1"/>
  <c r="I173" i="1" s="1"/>
  <c r="E173" i="1"/>
  <c r="D173" i="1"/>
  <c r="H172" i="1"/>
  <c r="I172" i="1" s="1"/>
  <c r="E172" i="1"/>
  <c r="D172" i="1"/>
  <c r="H171" i="1"/>
  <c r="I171" i="1" s="1"/>
  <c r="E171" i="1"/>
  <c r="D171" i="1"/>
  <c r="I170" i="1"/>
  <c r="H170" i="1"/>
  <c r="E170" i="1"/>
  <c r="D170" i="1"/>
  <c r="H169" i="1"/>
  <c r="I169" i="1" s="1"/>
  <c r="E169" i="1"/>
  <c r="D169" i="1"/>
  <c r="I168" i="1"/>
  <c r="H168" i="1"/>
  <c r="E168" i="1"/>
  <c r="D168" i="1"/>
  <c r="H167" i="1"/>
  <c r="I167" i="1" s="1"/>
  <c r="E167" i="1"/>
  <c r="D167" i="1"/>
  <c r="I166" i="1"/>
  <c r="H166" i="1"/>
  <c r="E166" i="1"/>
  <c r="D166" i="1"/>
  <c r="H165" i="1"/>
  <c r="I165" i="1" s="1"/>
  <c r="E165" i="1"/>
  <c r="D165" i="1"/>
  <c r="H164" i="1"/>
  <c r="I164" i="1" s="1"/>
  <c r="E164" i="1"/>
  <c r="D164" i="1"/>
  <c r="H163" i="1"/>
  <c r="I163" i="1" s="1"/>
  <c r="E163" i="1"/>
  <c r="D163" i="1"/>
  <c r="H162" i="1"/>
  <c r="I162" i="1" s="1"/>
  <c r="E162" i="1"/>
  <c r="D162" i="1"/>
  <c r="H161" i="1"/>
  <c r="I161" i="1" s="1"/>
  <c r="E161" i="1"/>
  <c r="D161" i="1"/>
  <c r="H160" i="1"/>
  <c r="I160" i="1" s="1"/>
  <c r="E160" i="1"/>
  <c r="D160" i="1"/>
  <c r="H159" i="1"/>
  <c r="I159" i="1" s="1"/>
  <c r="E159" i="1"/>
  <c r="D159" i="1"/>
  <c r="H158" i="1"/>
  <c r="I158" i="1" s="1"/>
  <c r="E158" i="1"/>
  <c r="D158" i="1"/>
  <c r="H157" i="1"/>
  <c r="I157" i="1" s="1"/>
  <c r="E157" i="1"/>
  <c r="D157" i="1"/>
  <c r="H156" i="1"/>
  <c r="I156" i="1" s="1"/>
  <c r="E156" i="1"/>
  <c r="D156" i="1"/>
  <c r="H155" i="1"/>
  <c r="I155" i="1" s="1"/>
  <c r="E155" i="1"/>
  <c r="D155" i="1"/>
  <c r="I154" i="1"/>
  <c r="H154" i="1"/>
  <c r="E154" i="1"/>
  <c r="D154" i="1"/>
  <c r="H153" i="1"/>
  <c r="I153" i="1" s="1"/>
  <c r="E153" i="1"/>
  <c r="D153" i="1"/>
  <c r="I152" i="1"/>
  <c r="H152" i="1"/>
  <c r="E152" i="1"/>
  <c r="D152" i="1"/>
  <c r="H151" i="1"/>
  <c r="I151" i="1" s="1"/>
  <c r="E151" i="1"/>
  <c r="D151" i="1"/>
  <c r="I150" i="1"/>
  <c r="H150" i="1"/>
  <c r="E150" i="1"/>
  <c r="D150" i="1"/>
  <c r="H149" i="1"/>
  <c r="I149" i="1" s="1"/>
  <c r="E149" i="1"/>
  <c r="D149" i="1"/>
  <c r="H148" i="1"/>
  <c r="I148" i="1" s="1"/>
  <c r="E148" i="1"/>
  <c r="D148" i="1"/>
  <c r="H147" i="1"/>
  <c r="I147" i="1" s="1"/>
  <c r="E147" i="1"/>
  <c r="D147" i="1"/>
  <c r="H146" i="1"/>
  <c r="I146" i="1" s="1"/>
  <c r="E146" i="1"/>
  <c r="D146" i="1"/>
  <c r="H145" i="1"/>
  <c r="I145" i="1" s="1"/>
  <c r="E145" i="1"/>
  <c r="D145" i="1"/>
  <c r="H144" i="1"/>
  <c r="I144" i="1" s="1"/>
  <c r="E144" i="1"/>
  <c r="D144" i="1"/>
  <c r="H143" i="1"/>
  <c r="I143" i="1" s="1"/>
  <c r="E143" i="1"/>
  <c r="D143" i="1"/>
  <c r="H142" i="1"/>
  <c r="I142" i="1" s="1"/>
  <c r="E142" i="1"/>
  <c r="D142" i="1"/>
  <c r="H141" i="1"/>
  <c r="I141" i="1" s="1"/>
  <c r="E141" i="1"/>
  <c r="D141" i="1"/>
  <c r="H140" i="1"/>
  <c r="I140" i="1" s="1"/>
  <c r="E140" i="1"/>
  <c r="D140" i="1"/>
  <c r="H139" i="1"/>
  <c r="I139" i="1" s="1"/>
  <c r="E139" i="1"/>
  <c r="D139" i="1"/>
  <c r="I138" i="1"/>
  <c r="H138" i="1"/>
  <c r="E138" i="1"/>
  <c r="D138" i="1"/>
  <c r="H137" i="1"/>
  <c r="I137" i="1" s="1"/>
  <c r="E137" i="1"/>
  <c r="D137" i="1"/>
  <c r="I136" i="1"/>
  <c r="H136" i="1"/>
  <c r="E136" i="1"/>
  <c r="D136" i="1"/>
  <c r="H135" i="1"/>
  <c r="I135" i="1" s="1"/>
  <c r="E135" i="1"/>
  <c r="D135" i="1"/>
  <c r="I134" i="1"/>
  <c r="H134" i="1"/>
  <c r="E134" i="1"/>
  <c r="D134" i="1"/>
  <c r="H133" i="1"/>
  <c r="I133" i="1" s="1"/>
  <c r="E133" i="1"/>
  <c r="D133" i="1"/>
  <c r="H132" i="1"/>
  <c r="I132" i="1" s="1"/>
  <c r="E132" i="1"/>
  <c r="D132" i="1"/>
  <c r="H131" i="1"/>
  <c r="I131" i="1" s="1"/>
  <c r="E131" i="1"/>
  <c r="D131" i="1"/>
  <c r="H130" i="1"/>
  <c r="I130" i="1" s="1"/>
  <c r="E130" i="1"/>
  <c r="D130" i="1"/>
  <c r="H129" i="1"/>
  <c r="I129" i="1" s="1"/>
  <c r="E129" i="1"/>
  <c r="D129" i="1"/>
  <c r="H128" i="1"/>
  <c r="I128" i="1" s="1"/>
  <c r="E128" i="1"/>
  <c r="D128" i="1"/>
  <c r="H127" i="1"/>
  <c r="I127" i="1" s="1"/>
  <c r="E127" i="1"/>
  <c r="D127" i="1"/>
  <c r="H126" i="1"/>
  <c r="I126" i="1" s="1"/>
  <c r="E126" i="1"/>
  <c r="D126" i="1"/>
  <c r="H125" i="1"/>
  <c r="I125" i="1" s="1"/>
  <c r="E125" i="1"/>
  <c r="D125" i="1"/>
  <c r="H124" i="1"/>
  <c r="I124" i="1" s="1"/>
  <c r="E124" i="1"/>
  <c r="D124" i="1"/>
  <c r="H123" i="1"/>
  <c r="I123" i="1" s="1"/>
  <c r="E123" i="1"/>
  <c r="D123" i="1"/>
  <c r="I122" i="1"/>
  <c r="H122" i="1"/>
  <c r="E122" i="1"/>
  <c r="D122" i="1"/>
  <c r="H121" i="1"/>
  <c r="I121" i="1" s="1"/>
  <c r="E121" i="1"/>
  <c r="D121" i="1"/>
  <c r="I120" i="1"/>
  <c r="H120" i="1"/>
  <c r="E120" i="1"/>
  <c r="D120" i="1"/>
  <c r="H119" i="1"/>
  <c r="I119" i="1" s="1"/>
  <c r="E119" i="1"/>
  <c r="D119" i="1"/>
  <c r="I118" i="1"/>
  <c r="H118" i="1"/>
  <c r="E118" i="1"/>
  <c r="D118" i="1"/>
  <c r="H117" i="1"/>
  <c r="I117" i="1" s="1"/>
  <c r="E117" i="1"/>
  <c r="D117" i="1"/>
  <c r="H116" i="1"/>
  <c r="I116" i="1" s="1"/>
  <c r="E116" i="1"/>
  <c r="D116" i="1"/>
  <c r="H115" i="1"/>
  <c r="I115" i="1" s="1"/>
  <c r="E115" i="1"/>
  <c r="D115" i="1"/>
  <c r="H114" i="1"/>
  <c r="I114" i="1" s="1"/>
  <c r="E114" i="1"/>
  <c r="D114" i="1"/>
  <c r="H113" i="1"/>
  <c r="I113" i="1" s="1"/>
  <c r="E113" i="1"/>
  <c r="D113" i="1"/>
  <c r="H112" i="1"/>
  <c r="I112" i="1" s="1"/>
  <c r="E112" i="1"/>
  <c r="D112" i="1"/>
  <c r="H111" i="1"/>
  <c r="I111" i="1" s="1"/>
  <c r="E111" i="1"/>
  <c r="D111" i="1"/>
  <c r="H110" i="1"/>
  <c r="I110" i="1" s="1"/>
  <c r="E110" i="1"/>
  <c r="D110" i="1"/>
  <c r="H109" i="1"/>
  <c r="I109" i="1" s="1"/>
  <c r="E109" i="1"/>
  <c r="D109" i="1"/>
  <c r="H108" i="1"/>
  <c r="I108" i="1" s="1"/>
  <c r="E108" i="1"/>
  <c r="D108" i="1"/>
  <c r="H107" i="1"/>
  <c r="I107" i="1" s="1"/>
  <c r="E107" i="1"/>
  <c r="D107" i="1"/>
  <c r="I106" i="1"/>
  <c r="H106" i="1"/>
  <c r="E106" i="1"/>
  <c r="D106" i="1"/>
  <c r="H105" i="1"/>
  <c r="I105" i="1" s="1"/>
  <c r="E105" i="1"/>
  <c r="D105" i="1"/>
  <c r="I104" i="1"/>
  <c r="H104" i="1"/>
  <c r="E104" i="1"/>
  <c r="D104" i="1"/>
  <c r="H103" i="1"/>
  <c r="I103" i="1" s="1"/>
  <c r="E103" i="1"/>
  <c r="D103" i="1"/>
  <c r="I102" i="1"/>
  <c r="H102" i="1"/>
  <c r="E102" i="1"/>
  <c r="D102" i="1"/>
  <c r="H101" i="1"/>
  <c r="I101" i="1" s="1"/>
  <c r="E101" i="1"/>
  <c r="D101" i="1"/>
  <c r="H100" i="1"/>
  <c r="I100" i="1" s="1"/>
  <c r="E100" i="1"/>
  <c r="D100" i="1"/>
  <c r="H99" i="1"/>
  <c r="I99" i="1" s="1"/>
  <c r="E99" i="1"/>
  <c r="D99" i="1"/>
  <c r="H98" i="1"/>
  <c r="I98" i="1" s="1"/>
  <c r="E98" i="1"/>
  <c r="D98" i="1"/>
  <c r="H97" i="1"/>
  <c r="I97" i="1" s="1"/>
  <c r="E97" i="1"/>
  <c r="D97" i="1"/>
  <c r="H96" i="1"/>
  <c r="I96" i="1" s="1"/>
  <c r="E96" i="1"/>
  <c r="D96" i="1"/>
  <c r="H95" i="1"/>
  <c r="I95" i="1" s="1"/>
  <c r="E95" i="1"/>
  <c r="D95" i="1"/>
  <c r="H94" i="1"/>
  <c r="I94" i="1" s="1"/>
  <c r="E94" i="1"/>
  <c r="D94" i="1"/>
  <c r="H93" i="1"/>
  <c r="I93" i="1" s="1"/>
  <c r="E93" i="1"/>
  <c r="D93" i="1"/>
  <c r="H92" i="1"/>
  <c r="I92" i="1" s="1"/>
  <c r="E92" i="1"/>
  <c r="D92" i="1"/>
  <c r="H91" i="1"/>
  <c r="I91" i="1" s="1"/>
  <c r="E91" i="1"/>
  <c r="D91" i="1"/>
  <c r="I90" i="1"/>
  <c r="H90" i="1"/>
  <c r="E90" i="1"/>
  <c r="D90" i="1"/>
  <c r="H89" i="1"/>
  <c r="I89" i="1" s="1"/>
  <c r="E89" i="1"/>
  <c r="D89" i="1"/>
  <c r="I88" i="1"/>
  <c r="H88" i="1"/>
  <c r="E88" i="1"/>
  <c r="D88" i="1"/>
  <c r="H87" i="1"/>
  <c r="I87" i="1" s="1"/>
  <c r="E87" i="1"/>
  <c r="D87" i="1"/>
  <c r="I86" i="1"/>
  <c r="H86" i="1"/>
  <c r="E86" i="1"/>
  <c r="D86" i="1"/>
  <c r="H85" i="1"/>
  <c r="I85" i="1" s="1"/>
  <c r="E85" i="1"/>
  <c r="D85" i="1"/>
  <c r="H84" i="1"/>
  <c r="I84" i="1" s="1"/>
  <c r="E84" i="1"/>
  <c r="D84" i="1"/>
  <c r="H83" i="1"/>
  <c r="I83" i="1" s="1"/>
  <c r="E83" i="1"/>
  <c r="D83" i="1"/>
  <c r="H82" i="1"/>
  <c r="I82" i="1" s="1"/>
  <c r="E82" i="1"/>
  <c r="D82" i="1"/>
  <c r="H81" i="1"/>
  <c r="I81" i="1" s="1"/>
  <c r="E81" i="1"/>
  <c r="D81" i="1"/>
  <c r="H80" i="1"/>
  <c r="I80" i="1" s="1"/>
  <c r="E80" i="1"/>
  <c r="D80" i="1"/>
  <c r="H79" i="1"/>
  <c r="I79" i="1" s="1"/>
  <c r="E79" i="1"/>
  <c r="D79" i="1"/>
  <c r="H78" i="1"/>
  <c r="I78" i="1" s="1"/>
  <c r="E78" i="1"/>
  <c r="D78" i="1"/>
  <c r="H77" i="1"/>
  <c r="I77" i="1" s="1"/>
  <c r="E77" i="1"/>
  <c r="D77" i="1"/>
  <c r="H76" i="1"/>
  <c r="I76" i="1" s="1"/>
  <c r="E76" i="1"/>
  <c r="D76" i="1"/>
  <c r="D75" i="1"/>
  <c r="H75" i="1" s="1"/>
  <c r="E74" i="1"/>
  <c r="D74" i="1"/>
  <c r="H74" i="1" s="1"/>
  <c r="H73" i="1"/>
  <c r="D73" i="1"/>
  <c r="H72" i="1"/>
  <c r="E72" i="1"/>
  <c r="D72" i="1"/>
  <c r="H71" i="1"/>
  <c r="E71" i="1"/>
  <c r="D71" i="1"/>
  <c r="D70" i="1"/>
  <c r="H70" i="1" s="1"/>
  <c r="D69" i="1"/>
  <c r="H69" i="1" s="1"/>
  <c r="H68" i="1"/>
  <c r="E68" i="1"/>
  <c r="D68" i="1"/>
  <c r="D67" i="1"/>
  <c r="H67" i="1" s="1"/>
  <c r="E66" i="1"/>
  <c r="D66" i="1"/>
  <c r="H66" i="1" s="1"/>
  <c r="H65" i="1"/>
  <c r="D65" i="1"/>
  <c r="H64" i="1"/>
  <c r="E64" i="1"/>
  <c r="D64" i="1"/>
  <c r="H63" i="1"/>
  <c r="E63" i="1"/>
  <c r="D63" i="1"/>
  <c r="D62" i="1"/>
  <c r="H62" i="1" s="1"/>
  <c r="D61" i="1"/>
  <c r="H61" i="1" s="1"/>
  <c r="H60" i="1"/>
  <c r="E60" i="1"/>
  <c r="D60" i="1"/>
  <c r="D59" i="1"/>
  <c r="H59" i="1" s="1"/>
  <c r="E58" i="1"/>
  <c r="D58" i="1"/>
  <c r="H58" i="1" s="1"/>
  <c r="H57" i="1"/>
  <c r="D57" i="1"/>
  <c r="H56" i="1"/>
  <c r="E56" i="1"/>
  <c r="D56" i="1"/>
  <c r="H55" i="1"/>
  <c r="E55" i="1"/>
  <c r="D55" i="1"/>
  <c r="D54" i="1"/>
  <c r="H54" i="1" s="1"/>
  <c r="D53" i="1"/>
  <c r="H53" i="1" s="1"/>
  <c r="H52" i="1"/>
  <c r="E52" i="1"/>
  <c r="D52" i="1"/>
  <c r="D51" i="1"/>
  <c r="H51" i="1" s="1"/>
  <c r="D50" i="1"/>
  <c r="H50" i="1" s="1"/>
  <c r="H49" i="1"/>
  <c r="D49" i="1"/>
  <c r="H48" i="1"/>
  <c r="E48" i="1"/>
  <c r="D48" i="1"/>
  <c r="D47" i="1"/>
  <c r="H47" i="1" s="1"/>
  <c r="D46" i="1"/>
  <c r="H46" i="1" s="1"/>
  <c r="D45" i="1"/>
  <c r="H45" i="1" s="1"/>
  <c r="H44" i="1"/>
  <c r="E44" i="1"/>
  <c r="D44" i="1"/>
  <c r="D43" i="1"/>
  <c r="H43" i="1" s="1"/>
  <c r="D42" i="1"/>
  <c r="H42" i="1" s="1"/>
  <c r="H41" i="1"/>
  <c r="D41" i="1"/>
  <c r="H40" i="1"/>
  <c r="E40" i="1"/>
  <c r="D40" i="1"/>
  <c r="D39" i="1"/>
  <c r="H39" i="1" s="1"/>
  <c r="D38" i="1"/>
  <c r="H38" i="1" s="1"/>
  <c r="D37" i="1"/>
  <c r="H37" i="1" s="1"/>
  <c r="H36" i="1"/>
  <c r="E36" i="1"/>
  <c r="D36" i="1"/>
  <c r="D35" i="1"/>
  <c r="E183" i="1" s="1"/>
  <c r="H34" i="1"/>
  <c r="D34" i="1"/>
  <c r="D33" i="1"/>
  <c r="H33" i="1" s="1"/>
  <c r="H32" i="1"/>
  <c r="D32" i="1"/>
  <c r="D31" i="1"/>
  <c r="H31" i="1" s="1"/>
  <c r="H30" i="1"/>
  <c r="D30" i="1"/>
  <c r="D29" i="1"/>
  <c r="H29" i="1" s="1"/>
  <c r="H28" i="1"/>
  <c r="D28" i="1"/>
  <c r="D27" i="1"/>
  <c r="H27" i="1" s="1"/>
  <c r="H26" i="1"/>
  <c r="D26" i="1"/>
  <c r="D25" i="1"/>
  <c r="H25" i="1" s="1"/>
  <c r="H24" i="1"/>
  <c r="D24" i="1"/>
  <c r="D23" i="1"/>
  <c r="H23" i="1" s="1"/>
  <c r="H22" i="1"/>
  <c r="D22" i="1"/>
  <c r="D21" i="1"/>
  <c r="H21" i="1" s="1"/>
  <c r="H20" i="1"/>
  <c r="D20" i="1"/>
  <c r="D19" i="1"/>
  <c r="H19" i="1" s="1"/>
  <c r="H18" i="1"/>
  <c r="D18" i="1"/>
  <c r="D17" i="1"/>
  <c r="H17" i="1" s="1"/>
  <c r="H16" i="1"/>
  <c r="D16" i="1"/>
  <c r="D15" i="1"/>
  <c r="H15" i="1" s="1"/>
  <c r="H14" i="1"/>
  <c r="D14" i="1"/>
  <c r="H13" i="1"/>
  <c r="D13" i="1"/>
  <c r="H12" i="1"/>
  <c r="D12" i="1"/>
  <c r="D11" i="1"/>
  <c r="H11" i="1" s="1"/>
  <c r="H10" i="1"/>
  <c r="D10" i="1"/>
  <c r="H9" i="1"/>
  <c r="D9" i="1"/>
  <c r="H8" i="1"/>
  <c r="D8" i="1"/>
  <c r="D7" i="1"/>
  <c r="H7" i="1" s="1"/>
  <c r="H6" i="1"/>
  <c r="D6" i="1"/>
  <c r="H5" i="1"/>
  <c r="D5" i="1"/>
  <c r="H4" i="1"/>
  <c r="D4" i="1"/>
  <c r="E177" i="1" l="1"/>
  <c r="H225" i="1"/>
  <c r="I225" i="1" s="1"/>
  <c r="E225" i="1"/>
  <c r="H241" i="1"/>
  <c r="I241" i="1" s="1"/>
  <c r="E241" i="1"/>
  <c r="H195" i="1"/>
  <c r="I195" i="1" s="1"/>
  <c r="E293" i="1"/>
  <c r="H275" i="1"/>
  <c r="I275" i="1" s="1"/>
  <c r="E275" i="1"/>
  <c r="H291" i="1"/>
  <c r="I291" i="1" s="1"/>
  <c r="E291" i="1"/>
  <c r="H307" i="1"/>
  <c r="I307" i="1" s="1"/>
  <c r="E307" i="1"/>
  <c r="H209" i="1"/>
  <c r="I209" i="1" s="1"/>
  <c r="E209" i="1"/>
  <c r="F6" i="2"/>
  <c r="D7" i="2"/>
  <c r="H269" i="1"/>
  <c r="I269" i="1" s="1"/>
  <c r="E269" i="1"/>
  <c r="V4" i="4"/>
  <c r="U6" i="4"/>
  <c r="E277" i="1"/>
  <c r="E39" i="1"/>
  <c r="E42" i="1"/>
  <c r="H285" i="1"/>
  <c r="I285" i="1" s="1"/>
  <c r="E285" i="1"/>
  <c r="E301" i="1"/>
  <c r="H301" i="1"/>
  <c r="I301" i="1" s="1"/>
  <c r="E309" i="1"/>
  <c r="E47" i="1"/>
  <c r="E50" i="1"/>
  <c r="E179" i="1"/>
  <c r="E211" i="1"/>
  <c r="E227" i="1"/>
  <c r="E243" i="1"/>
  <c r="E259" i="1"/>
  <c r="J5" i="2"/>
  <c r="L5" i="2" s="1"/>
  <c r="M5" i="2" s="1"/>
  <c r="E257" i="1"/>
  <c r="E37" i="1"/>
  <c r="E45" i="1"/>
  <c r="E53" i="1"/>
  <c r="E61" i="1"/>
  <c r="E69" i="1"/>
  <c r="E175" i="1"/>
  <c r="E191" i="1"/>
  <c r="E207" i="1"/>
  <c r="E223" i="1"/>
  <c r="E239" i="1"/>
  <c r="E255" i="1"/>
  <c r="E260" i="1"/>
  <c r="E258" i="1"/>
  <c r="E256" i="1"/>
  <c r="E254" i="1"/>
  <c r="E252" i="1"/>
  <c r="E250" i="1"/>
  <c r="E248" i="1"/>
  <c r="E246" i="1"/>
  <c r="E244" i="1"/>
  <c r="E242" i="1"/>
  <c r="E240" i="1"/>
  <c r="E238" i="1"/>
  <c r="E236" i="1"/>
  <c r="E234" i="1"/>
  <c r="E232" i="1"/>
  <c r="E230" i="1"/>
  <c r="E228" i="1"/>
  <c r="E226" i="1"/>
  <c r="E224" i="1"/>
  <c r="E222" i="1"/>
  <c r="E220" i="1"/>
  <c r="E218" i="1"/>
  <c r="E216" i="1"/>
  <c r="E214" i="1"/>
  <c r="E212" i="1"/>
  <c r="E210" i="1"/>
  <c r="E208" i="1"/>
  <c r="E206" i="1"/>
  <c r="E204" i="1"/>
  <c r="E202" i="1"/>
  <c r="E200" i="1"/>
  <c r="E198" i="1"/>
  <c r="E196" i="1"/>
  <c r="E194" i="1"/>
  <c r="E192" i="1"/>
  <c r="E190" i="1"/>
  <c r="E188" i="1"/>
  <c r="E186" i="1"/>
  <c r="E184" i="1"/>
  <c r="E182" i="1"/>
  <c r="E180" i="1"/>
  <c r="E178" i="1"/>
  <c r="E176" i="1"/>
  <c r="E174" i="1"/>
  <c r="E273" i="1"/>
  <c r="E289" i="1"/>
  <c r="E305" i="1"/>
  <c r="E51" i="1"/>
  <c r="E67" i="1"/>
  <c r="E251" i="1"/>
  <c r="E75" i="1"/>
  <c r="E187" i="1"/>
  <c r="E203" i="1"/>
  <c r="E219" i="1"/>
  <c r="E235" i="1"/>
  <c r="H35" i="1"/>
  <c r="E38" i="1"/>
  <c r="E46" i="1"/>
  <c r="E54" i="1"/>
  <c r="E62" i="1"/>
  <c r="E70" i="1"/>
  <c r="E185" i="1"/>
  <c r="E201" i="1"/>
  <c r="E217" i="1"/>
  <c r="E233" i="1"/>
  <c r="E249" i="1"/>
  <c r="E267" i="1"/>
  <c r="E283" i="1"/>
  <c r="E299" i="1"/>
  <c r="E43" i="1"/>
  <c r="E59" i="1"/>
  <c r="E41" i="1"/>
  <c r="E49" i="1"/>
  <c r="E57" i="1"/>
  <c r="E65" i="1"/>
  <c r="E73" i="1"/>
  <c r="E199" i="1"/>
  <c r="E215" i="1"/>
  <c r="E231" i="1"/>
  <c r="E247" i="1"/>
  <c r="E265" i="1"/>
  <c r="E281" i="1"/>
  <c r="E264" i="1"/>
  <c r="E266" i="1"/>
  <c r="E268" i="1"/>
  <c r="E270" i="1"/>
  <c r="E272" i="1"/>
  <c r="E274" i="1"/>
  <c r="E276" i="1"/>
  <c r="E278" i="1"/>
  <c r="E280" i="1"/>
  <c r="E282" i="1"/>
  <c r="E284" i="1"/>
  <c r="E286" i="1"/>
  <c r="E288" i="1"/>
  <c r="E290" i="1"/>
  <c r="E292" i="1"/>
  <c r="E294" i="1"/>
  <c r="E296" i="1"/>
  <c r="E298" i="1"/>
  <c r="E300" i="1"/>
  <c r="E302" i="1"/>
  <c r="E304" i="1"/>
  <c r="E306" i="1"/>
  <c r="E308" i="1"/>
  <c r="D8" i="2" l="1"/>
  <c r="F7" i="2"/>
  <c r="V5" i="4"/>
  <c r="U7" i="4"/>
  <c r="AB9" i="4" a="1"/>
  <c r="AB9" i="4" s="1"/>
  <c r="AB7" i="4" a="1"/>
  <c r="AB7" i="4" s="1"/>
  <c r="AB6" i="4" a="1"/>
  <c r="AB6" i="4" s="1"/>
  <c r="AB8" i="4" a="1"/>
  <c r="AB8" i="4" s="1"/>
  <c r="J6" i="2"/>
  <c r="V6" i="4" l="1"/>
  <c r="U8" i="4"/>
  <c r="J7" i="2"/>
  <c r="L6" i="2"/>
  <c r="M6" i="2" s="1"/>
  <c r="D9" i="2"/>
  <c r="F8" i="2"/>
  <c r="D10" i="2" l="1"/>
  <c r="F9" i="2"/>
  <c r="K9" i="2"/>
  <c r="V7" i="4"/>
  <c r="U9" i="4"/>
  <c r="L7" i="2"/>
  <c r="M7" i="2" s="1"/>
  <c r="J8" i="2"/>
  <c r="AB13" i="4" a="1"/>
  <c r="AB13" i="4" s="1"/>
  <c r="AB10" i="4" a="1"/>
  <c r="AB10" i="4" s="1"/>
  <c r="AB14" i="4" a="1"/>
  <c r="AB14" i="4" s="1"/>
  <c r="R3" i="4" s="1"/>
  <c r="AB12" i="4" a="1"/>
  <c r="AB12" i="4" s="1"/>
  <c r="AB11" i="4" a="1"/>
  <c r="AB11" i="4" s="1"/>
  <c r="L8" i="2" l="1"/>
  <c r="M8" i="2" s="1"/>
  <c r="J9" i="2"/>
  <c r="V8" i="4"/>
  <c r="U10" i="4"/>
  <c r="AB22" i="4" a="1"/>
  <c r="AB22" i="4" s="1"/>
  <c r="R11" i="4" s="1"/>
  <c r="AB16" i="4" a="1"/>
  <c r="AB16" i="4" s="1"/>
  <c r="R5" i="4" s="1"/>
  <c r="AB21" i="4" a="1"/>
  <c r="AB21" i="4" s="1"/>
  <c r="R10" i="4" s="1"/>
  <c r="AB18" i="4" a="1"/>
  <c r="AB18" i="4" s="1"/>
  <c r="R7" i="4" s="1"/>
  <c r="D11" i="2"/>
  <c r="K10" i="2"/>
  <c r="F10" i="2"/>
  <c r="D12" i="2" l="1"/>
  <c r="K11" i="2"/>
  <c r="F11" i="2"/>
  <c r="V9" i="4"/>
  <c r="U11" i="4"/>
  <c r="AB17" i="4" a="1"/>
  <c r="AB17" i="4" s="1"/>
  <c r="R6" i="4" s="1"/>
  <c r="AB25" i="4" a="1"/>
  <c r="AB25" i="4" s="1"/>
  <c r="R14" i="4" s="1"/>
  <c r="AB20" i="4" a="1"/>
  <c r="AB20" i="4" s="1"/>
  <c r="R9" i="4" s="1"/>
  <c r="AB24" i="4" a="1"/>
  <c r="AB24" i="4" s="1"/>
  <c r="R13" i="4" s="1"/>
  <c r="AB19" i="4" a="1"/>
  <c r="AB19" i="4" s="1"/>
  <c r="R8" i="4" s="1"/>
  <c r="AB23" i="4" a="1"/>
  <c r="AB23" i="4" s="1"/>
  <c r="R12" i="4" s="1"/>
  <c r="L9" i="2"/>
  <c r="M9" i="2" s="1"/>
  <c r="J10" i="2"/>
  <c r="AB15" i="4" a="1"/>
  <c r="AB15" i="4" s="1"/>
  <c r="R4" i="4" s="1"/>
  <c r="L10" i="2" l="1"/>
  <c r="M10" i="2" s="1"/>
  <c r="J11" i="2"/>
  <c r="V10" i="4"/>
  <c r="U12" i="4"/>
  <c r="AB38" i="4" a="1"/>
  <c r="AB38" i="4" s="1"/>
  <c r="R27" i="4" s="1"/>
  <c r="AB30" i="4" a="1"/>
  <c r="AB30" i="4" s="1"/>
  <c r="R19" i="4" s="1"/>
  <c r="AB36" i="4" a="1"/>
  <c r="AB36" i="4" s="1"/>
  <c r="R25" i="4" s="1"/>
  <c r="AB37" i="4" a="1"/>
  <c r="AB37" i="4" s="1"/>
  <c r="R26" i="4" s="1"/>
  <c r="AB31" i="4" a="1"/>
  <c r="AB31" i="4" s="1"/>
  <c r="R20" i="4" s="1"/>
  <c r="AB34" i="4" a="1"/>
  <c r="AB34" i="4" s="1"/>
  <c r="R23" i="4" s="1"/>
  <c r="AB28" i="4" a="1"/>
  <c r="AB28" i="4" s="1"/>
  <c r="R17" i="4" s="1"/>
  <c r="AB32" i="4" a="1"/>
  <c r="AB32" i="4" s="1"/>
  <c r="R21" i="4" s="1"/>
  <c r="AB39" i="4" a="1"/>
  <c r="AB39" i="4" s="1"/>
  <c r="R28" i="4" s="1"/>
  <c r="AB27" i="4" a="1"/>
  <c r="AB27" i="4" s="1"/>
  <c r="R16" i="4" s="1"/>
  <c r="AB33" i="4" a="1"/>
  <c r="AB33" i="4" s="1"/>
  <c r="R22" i="4" s="1"/>
  <c r="AB35" i="4" a="1"/>
  <c r="AB35" i="4" s="1"/>
  <c r="R24" i="4" s="1"/>
  <c r="AB26" i="4" a="1"/>
  <c r="AB26" i="4" s="1"/>
  <c r="R15" i="4" s="1"/>
  <c r="AB29" i="4" a="1"/>
  <c r="AB29" i="4" s="1"/>
  <c r="R18" i="4" s="1"/>
  <c r="D13" i="2"/>
  <c r="F12" i="2"/>
  <c r="K12" i="2"/>
  <c r="V11" i="4" l="1"/>
  <c r="U13" i="4"/>
  <c r="L11" i="2"/>
  <c r="M11" i="2" s="1"/>
  <c r="J12" i="2"/>
  <c r="D14" i="2"/>
  <c r="F13" i="2"/>
  <c r="K13" i="2"/>
  <c r="D15" i="2" l="1"/>
  <c r="K14" i="2"/>
  <c r="F14" i="2"/>
  <c r="L12" i="2"/>
  <c r="M12" i="2" s="1"/>
  <c r="J13" i="2"/>
  <c r="AB40" i="4" a="1"/>
  <c r="AB40" i="4" s="1"/>
  <c r="R29" i="4" s="1"/>
  <c r="AB44" i="4" a="1"/>
  <c r="AB44" i="4" s="1"/>
  <c r="R33" i="4" s="1"/>
  <c r="AB42" i="4" a="1"/>
  <c r="AB42" i="4" s="1"/>
  <c r="R31" i="4" s="1"/>
  <c r="AB41" i="4" a="1"/>
  <c r="AB41" i="4" s="1"/>
  <c r="R30" i="4" s="1"/>
  <c r="AB48" i="4" a="1"/>
  <c r="AB48" i="4" s="1"/>
  <c r="R37" i="4" s="1"/>
  <c r="AB43" i="4" a="1"/>
  <c r="AB43" i="4" s="1"/>
  <c r="R32" i="4" s="1"/>
  <c r="V12" i="4"/>
  <c r="U14" i="4"/>
  <c r="L13" i="2" l="1"/>
  <c r="M13" i="2" s="1"/>
  <c r="J14" i="2"/>
  <c r="V13" i="4"/>
  <c r="U15" i="4"/>
  <c r="K15" i="2"/>
  <c r="D16" i="2"/>
  <c r="F15" i="2"/>
  <c r="V14" i="4" l="1"/>
  <c r="U16" i="4"/>
  <c r="L14" i="2"/>
  <c r="M14" i="2" s="1"/>
  <c r="J15" i="2"/>
  <c r="K16" i="2"/>
  <c r="F16" i="2"/>
  <c r="D17" i="2"/>
  <c r="K17" i="2" l="1"/>
  <c r="F17" i="2"/>
  <c r="D18" i="2"/>
  <c r="L15" i="2"/>
  <c r="M15" i="2" s="1"/>
  <c r="J16" i="2"/>
  <c r="V15" i="4"/>
  <c r="U17" i="4"/>
  <c r="L16" i="2" l="1"/>
  <c r="M16" i="2" s="1"/>
  <c r="J17" i="2"/>
  <c r="V16" i="4"/>
  <c r="U18" i="4"/>
  <c r="K18" i="2"/>
  <c r="D19" i="2"/>
  <c r="F18" i="2"/>
  <c r="K19" i="2" l="1"/>
  <c r="F19" i="2"/>
  <c r="D20" i="2"/>
  <c r="V17" i="4"/>
  <c r="U19" i="4"/>
  <c r="L17" i="2"/>
  <c r="M17" i="2" s="1"/>
  <c r="J18" i="2"/>
  <c r="L18" i="2" l="1"/>
  <c r="M18" i="2" s="1"/>
  <c r="J19" i="2"/>
  <c r="V18" i="4"/>
  <c r="U20" i="4"/>
  <c r="K20" i="2"/>
  <c r="D21" i="2"/>
  <c r="F20" i="2"/>
  <c r="K21" i="2" l="1"/>
  <c r="D22" i="2"/>
  <c r="F21" i="2"/>
  <c r="V19" i="4"/>
  <c r="U21" i="4"/>
  <c r="L19" i="2"/>
  <c r="M19" i="2" s="1"/>
  <c r="J20" i="2"/>
  <c r="L20" i="2" l="1"/>
  <c r="M20" i="2" s="1"/>
  <c r="J21" i="2"/>
  <c r="V20" i="4"/>
  <c r="U22" i="4"/>
  <c r="K22" i="2"/>
  <c r="F22" i="2"/>
  <c r="D23" i="2"/>
  <c r="K23" i="2" l="1"/>
  <c r="F23" i="2"/>
  <c r="D24" i="2"/>
  <c r="V21" i="4"/>
  <c r="U23" i="4"/>
  <c r="L21" i="2"/>
  <c r="M21" i="2" s="1"/>
  <c r="J22" i="2"/>
  <c r="J23" i="2" l="1"/>
  <c r="L22" i="2"/>
  <c r="M22" i="2" s="1"/>
  <c r="V22" i="4"/>
  <c r="U24" i="4"/>
  <c r="K24" i="2"/>
  <c r="D25" i="2"/>
  <c r="F24" i="2"/>
  <c r="K25" i="2" l="1"/>
  <c r="D26" i="2"/>
  <c r="F25" i="2"/>
  <c r="V23" i="4"/>
  <c r="U25" i="4"/>
  <c r="L23" i="2"/>
  <c r="M23" i="2" s="1"/>
  <c r="J24" i="2"/>
  <c r="L24" i="2" l="1"/>
  <c r="M24" i="2" s="1"/>
  <c r="J25" i="2"/>
  <c r="V24" i="4"/>
  <c r="U26" i="4"/>
  <c r="K26" i="2"/>
  <c r="F26" i="2"/>
  <c r="D27" i="2"/>
  <c r="K27" i="2" l="1"/>
  <c r="D28" i="2"/>
  <c r="F27" i="2"/>
  <c r="V25" i="4"/>
  <c r="U27" i="4"/>
  <c r="L25" i="2"/>
  <c r="M25" i="2" s="1"/>
  <c r="J26" i="2"/>
  <c r="L26" i="2" l="1"/>
  <c r="M26" i="2" s="1"/>
  <c r="J27" i="2"/>
  <c r="V26" i="4"/>
  <c r="U28" i="4"/>
  <c r="K28" i="2"/>
  <c r="D29" i="2"/>
  <c r="F28" i="2"/>
  <c r="K29" i="2" l="1"/>
  <c r="D30" i="2"/>
  <c r="F29" i="2"/>
  <c r="V27" i="4"/>
  <c r="U29" i="4"/>
  <c r="L27" i="2"/>
  <c r="M27" i="2" s="1"/>
  <c r="J28" i="2"/>
  <c r="L28" i="2" l="1"/>
  <c r="M28" i="2" s="1"/>
  <c r="J29" i="2"/>
  <c r="U30" i="4"/>
  <c r="V28" i="4"/>
  <c r="K30" i="2"/>
  <c r="D31" i="2"/>
  <c r="F30" i="2"/>
  <c r="K31" i="2" l="1"/>
  <c r="F31" i="2"/>
  <c r="U31" i="4"/>
  <c r="V29" i="4"/>
  <c r="L29" i="2"/>
  <c r="M29" i="2" s="1"/>
  <c r="J30" i="2"/>
  <c r="L30" i="2" l="1"/>
  <c r="M30" i="2" s="1"/>
  <c r="J31" i="2"/>
  <c r="L31" i="2" s="1"/>
  <c r="M31" i="2" s="1"/>
  <c r="U32" i="4"/>
  <c r="V30" i="4"/>
  <c r="V31" i="4" l="1"/>
  <c r="U33" i="4"/>
  <c r="V32" i="4" l="1"/>
  <c r="U34" i="4"/>
  <c r="V33" i="4" l="1"/>
  <c r="U35" i="4"/>
  <c r="V34" i="4" s="1"/>
  <c r="AB133" i="4" l="1" a="1"/>
  <c r="AB133" i="4" s="1"/>
  <c r="R122" i="4" s="1"/>
  <c r="AB109" i="4" a="1"/>
  <c r="AB109" i="4" s="1"/>
  <c r="R98" i="4" s="1"/>
  <c r="AB123" i="4" a="1"/>
  <c r="AB123" i="4" s="1"/>
  <c r="R112" i="4" s="1"/>
  <c r="AB55" i="4" a="1"/>
  <c r="AB55" i="4" s="1"/>
  <c r="R44" i="4" s="1"/>
  <c r="AB160" i="4" a="1"/>
  <c r="AB160" i="4" s="1"/>
  <c r="R149" i="4" s="1"/>
  <c r="AB258" i="4" a="1"/>
  <c r="AB258" i="4" s="1"/>
  <c r="R247" i="4" s="1"/>
  <c r="AB119" i="4" a="1"/>
  <c r="AB119" i="4" s="1"/>
  <c r="R108" i="4" s="1"/>
  <c r="AB88" i="4" a="1"/>
  <c r="AB88" i="4" s="1"/>
  <c r="R77" i="4" s="1"/>
  <c r="AB156" i="4" a="1"/>
  <c r="AB156" i="4" s="1"/>
  <c r="R145" i="4" s="1"/>
  <c r="AB230" i="4" a="1"/>
  <c r="AB230" i="4" s="1"/>
  <c r="R219" i="4" s="1"/>
  <c r="AB120" i="4" a="1"/>
  <c r="AB120" i="4" s="1"/>
  <c r="R109" i="4" s="1"/>
  <c r="AB262" i="4" a="1"/>
  <c r="AB262" i="4" s="1"/>
  <c r="R251" i="4" s="1"/>
  <c r="AB137" i="4" a="1"/>
  <c r="AB137" i="4" s="1"/>
  <c r="R126" i="4" s="1"/>
  <c r="AB284" i="4" a="1"/>
  <c r="AB284" i="4" s="1"/>
  <c r="R272" i="4" s="1"/>
  <c r="AB226" i="4" a="1"/>
  <c r="AB226" i="4" s="1"/>
  <c r="R215" i="4" s="1"/>
  <c r="AB114" i="4" a="1"/>
  <c r="AB114" i="4" s="1"/>
  <c r="R103" i="4" s="1"/>
  <c r="AB161" i="4" a="1"/>
  <c r="AB161" i="4" s="1"/>
  <c r="R150" i="4" s="1"/>
  <c r="AB98" i="4" a="1"/>
  <c r="AB98" i="4" s="1"/>
  <c r="R87" i="4" s="1"/>
  <c r="AB235" i="4" a="1"/>
  <c r="AB235" i="4" s="1"/>
  <c r="R224" i="4" s="1"/>
  <c r="AB187" i="4" a="1"/>
  <c r="AB187" i="4" s="1"/>
  <c r="R176" i="4" s="1"/>
  <c r="AB256" i="4" a="1"/>
  <c r="AB256" i="4" s="1"/>
  <c r="R245" i="4" s="1"/>
  <c r="AB285" i="4" a="1"/>
  <c r="AB285" i="4" s="1"/>
  <c r="R273" i="4" s="1"/>
  <c r="AB281" i="4" a="1"/>
  <c r="AB281" i="4" s="1"/>
  <c r="R269" i="4" s="1"/>
  <c r="AB269" i="4" a="1"/>
  <c r="AB269" i="4" s="1"/>
  <c r="R257" i="4" s="1"/>
  <c r="AB121" i="4" a="1"/>
  <c r="AB121" i="4" s="1"/>
  <c r="R110" i="4" s="1"/>
  <c r="AB104" i="4" a="1"/>
  <c r="AB104" i="4" s="1"/>
  <c r="R93" i="4" s="1"/>
  <c r="AB146" i="4" a="1"/>
  <c r="AB146" i="4" s="1"/>
  <c r="R135" i="4" s="1"/>
  <c r="AB94" i="4" a="1"/>
  <c r="AB94" i="4" s="1"/>
  <c r="R83" i="4" s="1"/>
  <c r="AB249" i="4" a="1"/>
  <c r="AB249" i="4" s="1"/>
  <c r="R238" i="4" s="1"/>
  <c r="AB106" i="4" a="1"/>
  <c r="AB106" i="4" s="1"/>
  <c r="R95" i="4" s="1"/>
  <c r="AB111" i="4" a="1"/>
  <c r="AB111" i="4" s="1"/>
  <c r="R100" i="4" s="1"/>
  <c r="AB223" i="4" a="1"/>
  <c r="AB223" i="4" s="1"/>
  <c r="R212" i="4" s="1"/>
  <c r="AB241" i="4" a="1"/>
  <c r="AB241" i="4" s="1"/>
  <c r="R230" i="4" s="1"/>
  <c r="AB176" i="4" a="1"/>
  <c r="AB176" i="4" s="1"/>
  <c r="R165" i="4" s="1"/>
  <c r="AB135" i="4" a="1"/>
  <c r="AB135" i="4" s="1"/>
  <c r="R124" i="4" s="1"/>
  <c r="AB129" i="4" a="1"/>
  <c r="AB129" i="4" s="1"/>
  <c r="R118" i="4" s="1"/>
  <c r="AB197" i="4" a="1"/>
  <c r="AB197" i="4" s="1"/>
  <c r="R186" i="4" s="1"/>
  <c r="AB209" i="4" a="1"/>
  <c r="AB209" i="4" s="1"/>
  <c r="R198" i="4" s="1"/>
  <c r="AB286" i="4" a="1"/>
  <c r="AB286" i="4" s="1"/>
  <c r="R274" i="4" s="1"/>
  <c r="AB95" i="4" a="1"/>
  <c r="AB95" i="4" s="1"/>
  <c r="R84" i="4" s="1"/>
  <c r="AB154" i="4" a="1"/>
  <c r="AB154" i="4" s="1"/>
  <c r="R143" i="4" s="1"/>
  <c r="AB191" i="4" a="1"/>
  <c r="AB191" i="4" s="1"/>
  <c r="R180" i="4" s="1"/>
  <c r="AB152" i="4" a="1"/>
  <c r="AB152" i="4" s="1"/>
  <c r="R141" i="4" s="1"/>
  <c r="AB233" i="4" a="1"/>
  <c r="AB233" i="4" s="1"/>
  <c r="R222" i="4" s="1"/>
  <c r="AB297" i="4" a="1"/>
  <c r="AB297" i="4" s="1"/>
  <c r="R285" i="4" s="1"/>
  <c r="AB224" i="4" a="1"/>
  <c r="AB224" i="4" s="1"/>
  <c r="R213" i="4" s="1"/>
  <c r="AB246" i="4" a="1"/>
  <c r="AB246" i="4" s="1"/>
  <c r="R235" i="4" s="1"/>
  <c r="AB184" i="4" a="1"/>
  <c r="AB184" i="4" s="1"/>
  <c r="AB232" i="4" a="1"/>
  <c r="AB232" i="4" s="1"/>
  <c r="R221" i="4" s="1"/>
  <c r="AB61" i="4" a="1"/>
  <c r="AB61" i="4" s="1"/>
  <c r="R50" i="4" s="1"/>
  <c r="AB250" i="4" a="1"/>
  <c r="AB250" i="4" s="1"/>
  <c r="R239" i="4" s="1"/>
  <c r="AB257" i="4" a="1"/>
  <c r="AB257" i="4" s="1"/>
  <c r="R246" i="4" s="1"/>
  <c r="AB178" i="4" a="1"/>
  <c r="AB178" i="4" s="1"/>
  <c r="R167" i="4" s="1"/>
  <c r="AB67" i="4" a="1"/>
  <c r="AB67" i="4" s="1"/>
  <c r="R56" i="4" s="1"/>
  <c r="AB174" i="4" a="1"/>
  <c r="AB174" i="4" s="1"/>
  <c r="R163" i="4" s="1"/>
  <c r="AB273" i="4" a="1"/>
  <c r="AB273" i="4" s="1"/>
  <c r="R261" i="4" s="1"/>
  <c r="AB149" i="4" a="1"/>
  <c r="AB149" i="4" s="1"/>
  <c r="R138" i="4" s="1"/>
  <c r="AB99" i="4" a="1"/>
  <c r="AB99" i="4" s="1"/>
  <c r="R88" i="4" s="1"/>
  <c r="AB142" i="4" a="1"/>
  <c r="AB142" i="4" s="1"/>
  <c r="R131" i="4" s="1"/>
  <c r="AB153" i="4" a="1"/>
  <c r="AB153" i="4" s="1"/>
  <c r="R142" i="4" s="1"/>
  <c r="AB183" i="4" a="1"/>
  <c r="AB183" i="4" s="1"/>
  <c r="R172" i="4" s="1"/>
  <c r="AB141" i="4" a="1"/>
  <c r="AB141" i="4" s="1"/>
  <c r="R130" i="4" s="1"/>
  <c r="AB169" i="4" a="1"/>
  <c r="AB169" i="4" s="1"/>
  <c r="R158" i="4" s="1"/>
  <c r="AB302" i="4" a="1"/>
  <c r="AB302" i="4" s="1"/>
  <c r="R290" i="4" s="1"/>
  <c r="AB189" i="4" a="1"/>
  <c r="AB189" i="4" s="1"/>
  <c r="R178" i="4" s="1"/>
  <c r="AB201" i="4" a="1"/>
  <c r="AB201" i="4" s="1"/>
  <c r="R190" i="4" s="1"/>
  <c r="AB277" i="4" a="1"/>
  <c r="AB277" i="4" s="1"/>
  <c r="R265" i="4" s="1"/>
  <c r="AB90" i="4" a="1"/>
  <c r="AB90" i="4" s="1"/>
  <c r="R79" i="4" s="1"/>
  <c r="AB143" i="4" a="1"/>
  <c r="AB143" i="4" s="1"/>
  <c r="R132" i="4" s="1"/>
  <c r="AB139" i="4" a="1"/>
  <c r="AB139" i="4" s="1"/>
  <c r="R128" i="4" s="1"/>
  <c r="AB207" i="4" a="1"/>
  <c r="AB207" i="4" s="1"/>
  <c r="R196" i="4" s="1"/>
  <c r="AB221" i="4" a="1"/>
  <c r="AB221" i="4" s="1"/>
  <c r="R210" i="4" s="1"/>
  <c r="AB112" i="4" a="1"/>
  <c r="AB112" i="4" s="1"/>
  <c r="R101" i="4" s="1"/>
  <c r="AB82" i="4" a="1"/>
  <c r="AB82" i="4" s="1"/>
  <c r="R71" i="4" s="1"/>
  <c r="AB116" i="4" a="1"/>
  <c r="AB116" i="4" s="1"/>
  <c r="R105" i="4" s="1"/>
  <c r="AB117" i="4" a="1"/>
  <c r="AB117" i="4" s="1"/>
  <c r="R106" i="4" s="1"/>
  <c r="AB254" i="4" a="1"/>
  <c r="AB254" i="4" s="1"/>
  <c r="R243" i="4" s="1"/>
  <c r="AB291" i="4" a="1"/>
  <c r="AB291" i="4" s="1"/>
  <c r="R279" i="4" s="1"/>
  <c r="AB59" i="4" a="1"/>
  <c r="AB59" i="4" s="1"/>
  <c r="R48" i="4" s="1"/>
  <c r="AB83" i="4" a="1"/>
  <c r="AB83" i="4" s="1"/>
  <c r="R72" i="4" s="1"/>
  <c r="AB179" i="4" a="1"/>
  <c r="AB179" i="4" s="1"/>
  <c r="R168" i="4" s="1"/>
  <c r="AB89" i="4" a="1"/>
  <c r="AB89" i="4" s="1"/>
  <c r="R78" i="4" s="1"/>
  <c r="AB136" i="4" a="1"/>
  <c r="AB136" i="4" s="1"/>
  <c r="R125" i="4" s="1"/>
  <c r="AB92" i="4" a="1"/>
  <c r="AB92" i="4" s="1"/>
  <c r="R81" i="4" s="1"/>
  <c r="AB190" i="4" a="1"/>
  <c r="AB190" i="4" s="1"/>
  <c r="R179" i="4" s="1"/>
  <c r="AB107" i="4" a="1"/>
  <c r="AB107" i="4" s="1"/>
  <c r="R96" i="4" s="1"/>
  <c r="AB303" i="4" a="1"/>
  <c r="AB303" i="4" s="1"/>
  <c r="R291" i="4" s="1"/>
  <c r="AB78" i="4" a="1"/>
  <c r="AB78" i="4" s="1"/>
  <c r="R67" i="4" s="1"/>
  <c r="AB243" i="4" a="1"/>
  <c r="AB243" i="4" s="1"/>
  <c r="R232" i="4" s="1"/>
  <c r="AB306" i="4" a="1"/>
  <c r="AB306" i="4" s="1"/>
  <c r="R294" i="4" s="1"/>
  <c r="AB166" i="4" a="1"/>
  <c r="AB166" i="4" s="1"/>
  <c r="R155" i="4" s="1"/>
  <c r="AB177" i="4" a="1"/>
  <c r="AB177" i="4" s="1"/>
  <c r="R166" i="4" s="1"/>
  <c r="AB195" i="4" a="1"/>
  <c r="AB195" i="4" s="1"/>
  <c r="R184" i="4" s="1"/>
  <c r="AB122" i="4" a="1"/>
  <c r="AB122" i="4" s="1"/>
  <c r="R111" i="4" s="1"/>
  <c r="AB130" i="4" a="1"/>
  <c r="AB130" i="4" s="1"/>
  <c r="R119" i="4" s="1"/>
  <c r="AB126" i="4" a="1"/>
  <c r="AB126" i="4" s="1"/>
  <c r="R115" i="4" s="1"/>
  <c r="AB168" i="4" a="1"/>
  <c r="AB168" i="4" s="1"/>
  <c r="AB293" i="4" a="1"/>
  <c r="AB293" i="4" s="1"/>
  <c r="R281" i="4" s="1"/>
  <c r="AB53" i="4" a="1"/>
  <c r="AB53" i="4" s="1"/>
  <c r="R42" i="4" s="1"/>
  <c r="AB69" i="4" a="1"/>
  <c r="AB69" i="4" s="1"/>
  <c r="R58" i="4" s="1"/>
  <c r="AB76" i="4" a="1"/>
  <c r="AB76" i="4" s="1"/>
  <c r="R65" i="4" s="1"/>
  <c r="AB239" i="4" a="1"/>
  <c r="AB239" i="4" s="1"/>
  <c r="R228" i="4" s="1"/>
  <c r="AB71" i="4" a="1"/>
  <c r="AB71" i="4" s="1"/>
  <c r="R60" i="4" s="1"/>
  <c r="AB275" i="4" a="1"/>
  <c r="AB275" i="4" s="1"/>
  <c r="R263" i="4" s="1"/>
  <c r="AB266" i="4" a="1"/>
  <c r="AB266" i="4" s="1"/>
  <c r="R254" i="4" s="1"/>
  <c r="AB68" i="4" a="1"/>
  <c r="AB68" i="4" s="1"/>
  <c r="R57" i="4" s="1"/>
  <c r="AB192" i="4" a="1"/>
  <c r="AB192" i="4" s="1"/>
  <c r="R181" i="4" s="1"/>
  <c r="AB280" i="4" a="1"/>
  <c r="AB280" i="4" s="1"/>
  <c r="R268" i="4" s="1"/>
  <c r="AB80" i="4" a="1"/>
  <c r="AB80" i="4" s="1"/>
  <c r="R69" i="4" s="1"/>
  <c r="AB222" i="4" a="1"/>
  <c r="AB222" i="4" s="1"/>
  <c r="R211" i="4" s="1"/>
  <c r="AB270" i="4" a="1"/>
  <c r="AB270" i="4" s="1"/>
  <c r="R258" i="4" s="1"/>
  <c r="AB206" i="4" a="1"/>
  <c r="AB206" i="4" s="1"/>
  <c r="R195" i="4" s="1"/>
  <c r="AB242" i="4" a="1"/>
  <c r="AB242" i="4" s="1"/>
  <c r="R231" i="4" s="1"/>
  <c r="AB58" i="4" a="1"/>
  <c r="AB58" i="4" s="1"/>
  <c r="R47" i="4" s="1"/>
  <c r="AB103" i="4" a="1"/>
  <c r="AB103" i="4" s="1"/>
  <c r="R92" i="4" s="1"/>
  <c r="AB115" i="4" a="1"/>
  <c r="AB115" i="4" s="1"/>
  <c r="R104" i="4" s="1"/>
  <c r="AB296" i="4" a="1"/>
  <c r="AB296" i="4" s="1"/>
  <c r="R284" i="4" s="1"/>
  <c r="AB218" i="4" a="1"/>
  <c r="AB218" i="4" s="1"/>
  <c r="R207" i="4" s="1"/>
  <c r="AB63" i="4" a="1"/>
  <c r="AB63" i="4" s="1"/>
  <c r="R52" i="4" s="1"/>
  <c r="AB49" i="4" a="1"/>
  <c r="AB49" i="4" s="1"/>
  <c r="R38" i="4" s="1"/>
  <c r="AB244" i="4" a="1"/>
  <c r="AB244" i="4" s="1"/>
  <c r="R233" i="4" s="1"/>
  <c r="AB46" i="4" a="1"/>
  <c r="AB46" i="4" s="1"/>
  <c r="R35" i="4" s="1"/>
  <c r="AB214" i="4" a="1"/>
  <c r="AB214" i="4" s="1"/>
  <c r="R203" i="4" s="1"/>
  <c r="AB208" i="4" a="1"/>
  <c r="AB208" i="4" s="1"/>
  <c r="R197" i="4" s="1"/>
  <c r="AB170" i="4" a="1"/>
  <c r="AB170" i="4" s="1"/>
  <c r="R159" i="4" s="1"/>
  <c r="AB47" i="4" a="1"/>
  <c r="AB47" i="4" s="1"/>
  <c r="R36" i="4" s="1"/>
  <c r="AB211" i="4" a="1"/>
  <c r="AB211" i="4" s="1"/>
  <c r="R200" i="4" s="1"/>
  <c r="AB118" i="4" a="1"/>
  <c r="AB118" i="4" s="1"/>
  <c r="R107" i="4" s="1"/>
  <c r="AB279" i="4" a="1"/>
  <c r="AB279" i="4" s="1"/>
  <c r="R267" i="4" s="1"/>
  <c r="AB283" i="4" a="1"/>
  <c r="AB283" i="4" s="1"/>
  <c r="R271" i="4" s="1"/>
  <c r="AB213" i="4" a="1"/>
  <c r="AB213" i="4" s="1"/>
  <c r="R202" i="4" s="1"/>
  <c r="AB203" i="4" a="1"/>
  <c r="AB203" i="4" s="1"/>
  <c r="R192" i="4" s="1"/>
  <c r="AB212" i="4" a="1"/>
  <c r="AB212" i="4" s="1"/>
  <c r="R201" i="4" s="1"/>
  <c r="AB288" i="4" a="1"/>
  <c r="AB288" i="4" s="1"/>
  <c r="R276" i="4" s="1"/>
  <c r="AB158" i="4" a="1"/>
  <c r="AB158" i="4" s="1"/>
  <c r="R147" i="4" s="1"/>
  <c r="AB227" i="4" a="1"/>
  <c r="AB227" i="4" s="1"/>
  <c r="R216" i="4" s="1"/>
  <c r="AB124" i="4" a="1"/>
  <c r="AB124" i="4" s="1"/>
  <c r="R113" i="4" s="1"/>
  <c r="AB290" i="4" a="1"/>
  <c r="AB290" i="4" s="1"/>
  <c r="R278" i="4" s="1"/>
  <c r="AB125" i="4" a="1"/>
  <c r="AB125" i="4" s="1"/>
  <c r="R114" i="4" s="1"/>
  <c r="AB52" i="4" a="1"/>
  <c r="AB52" i="4" s="1"/>
  <c r="R41" i="4" s="1"/>
  <c r="AB274" i="4" a="1"/>
  <c r="AB274" i="4" s="1"/>
  <c r="R262" i="4" s="1"/>
  <c r="AB294" i="4" a="1"/>
  <c r="AB294" i="4" s="1"/>
  <c r="R282" i="4" s="1"/>
  <c r="AB100" i="4" a="1"/>
  <c r="AB100" i="4" s="1"/>
  <c r="R89" i="4" s="1"/>
  <c r="AB60" i="4" a="1"/>
  <c r="AB60" i="4" s="1"/>
  <c r="R49" i="4" s="1"/>
  <c r="AB171" i="4" a="1"/>
  <c r="AB171" i="4" s="1"/>
  <c r="R160" i="4" s="1"/>
  <c r="AB155" i="4" a="1"/>
  <c r="AB155" i="4" s="1"/>
  <c r="R144" i="4" s="1"/>
  <c r="AB93" i="4" a="1"/>
  <c r="AB93" i="4" s="1"/>
  <c r="R82" i="4" s="1"/>
  <c r="AB265" i="4" a="1"/>
  <c r="AB265" i="4" s="1"/>
  <c r="R253" i="4" s="1"/>
  <c r="AB298" i="4" a="1"/>
  <c r="AB298" i="4" s="1"/>
  <c r="R286" i="4" s="1"/>
  <c r="AB51" i="4" a="1"/>
  <c r="AB51" i="4" s="1"/>
  <c r="R40" i="4" s="1"/>
  <c r="AB215" i="4" a="1"/>
  <c r="AB215" i="4" s="1"/>
  <c r="R204" i="4" s="1"/>
  <c r="AB70" i="4" a="1"/>
  <c r="AB70" i="4" s="1"/>
  <c r="R59" i="4" s="1"/>
  <c r="AB272" i="4" a="1"/>
  <c r="AB272" i="4" s="1"/>
  <c r="R260" i="4" s="1"/>
  <c r="AB225" i="4" a="1"/>
  <c r="AB225" i="4" s="1"/>
  <c r="R214" i="4" s="1"/>
  <c r="AB163" i="4" a="1"/>
  <c r="AB163" i="4" s="1"/>
  <c r="R152" i="4" s="1"/>
  <c r="AB271" i="4" a="1"/>
  <c r="AB271" i="4" s="1"/>
  <c r="R259" i="4" s="1"/>
  <c r="AB102" i="4" a="1"/>
  <c r="AB102" i="4" s="1"/>
  <c r="R91" i="4" s="1"/>
  <c r="AB193" i="4" a="1"/>
  <c r="AB193" i="4" s="1"/>
  <c r="R182" i="4" s="1"/>
  <c r="AB75" i="4" a="1"/>
  <c r="AB75" i="4" s="1"/>
  <c r="R64" i="4" s="1"/>
  <c r="AB97" i="4" a="1"/>
  <c r="AB97" i="4" s="1"/>
  <c r="R86" i="4" s="1"/>
  <c r="AB127" i="4" a="1"/>
  <c r="AB127" i="4" s="1"/>
  <c r="R116" i="4" s="1"/>
  <c r="AB220" i="4" a="1"/>
  <c r="AB220" i="4" s="1"/>
  <c r="R209" i="4" s="1"/>
  <c r="AB237" i="4" a="1"/>
  <c r="AB237" i="4" s="1"/>
  <c r="R226" i="4" s="1"/>
  <c r="AB128" i="4" a="1"/>
  <c r="AB128" i="4" s="1"/>
  <c r="R117" i="4" s="1"/>
  <c r="AB162" i="4" a="1"/>
  <c r="AB162" i="4" s="1"/>
  <c r="R151" i="4" s="1"/>
  <c r="AB264" i="4" a="1"/>
  <c r="AB264" i="4" s="1"/>
  <c r="R252" i="4" s="1"/>
  <c r="AB159" i="4" a="1"/>
  <c r="AB159" i="4" s="1"/>
  <c r="R148" i="4" s="1"/>
  <c r="AB248" i="4" a="1"/>
  <c r="AB248" i="4" s="1"/>
  <c r="R237" i="4" s="1"/>
  <c r="AB231" i="4" a="1"/>
  <c r="AB231" i="4" s="1"/>
  <c r="R220" i="4" s="1"/>
  <c r="AB91" i="4" a="1"/>
  <c r="AB91" i="4" s="1"/>
  <c r="R80" i="4" s="1"/>
  <c r="AB185" i="4" a="1"/>
  <c r="AB185" i="4" s="1"/>
  <c r="R174" i="4" s="1"/>
  <c r="AB96" i="4" a="1"/>
  <c r="AB96" i="4" s="1"/>
  <c r="R85" i="4" s="1"/>
  <c r="AB56" i="4" a="1"/>
  <c r="AB56" i="4" s="1"/>
  <c r="R45" i="4" s="1"/>
  <c r="AB132" i="4" a="1"/>
  <c r="AB132" i="4" s="1"/>
  <c r="R121" i="4" s="1"/>
  <c r="AB186" i="4" a="1"/>
  <c r="AB186" i="4" s="1"/>
  <c r="R175" i="4" s="1"/>
  <c r="AB188" i="4" a="1"/>
  <c r="AB188" i="4" s="1"/>
  <c r="R177" i="4" s="1"/>
  <c r="AB255" i="4" a="1"/>
  <c r="AB255" i="4" s="1"/>
  <c r="R244" i="4" s="1"/>
  <c r="AB205" i="4" a="1"/>
  <c r="AB205" i="4" s="1"/>
  <c r="R194" i="4" s="1"/>
  <c r="AB194" i="4" a="1"/>
  <c r="AB194" i="4" s="1"/>
  <c r="R183" i="4" s="1"/>
  <c r="AB84" i="4" a="1"/>
  <c r="AB84" i="4" s="1"/>
  <c r="R73" i="4" s="1"/>
  <c r="AB204" i="4" a="1"/>
  <c r="AB204" i="4" s="1"/>
  <c r="R193" i="4" s="1"/>
  <c r="AB148" i="4" a="1"/>
  <c r="AB148" i="4" s="1"/>
  <c r="R137" i="4" s="1"/>
  <c r="AB217" i="4" a="1"/>
  <c r="AB217" i="4" s="1"/>
  <c r="R206" i="4" s="1"/>
  <c r="AB105" i="4" a="1"/>
  <c r="AB105" i="4" s="1"/>
  <c r="R94" i="4" s="1"/>
  <c r="AB289" i="4" a="1"/>
  <c r="AB289" i="4" s="1"/>
  <c r="R277" i="4" s="1"/>
  <c r="AB198" i="4" a="1"/>
  <c r="AB198" i="4" s="1"/>
  <c r="R187" i="4" s="1"/>
  <c r="AB301" i="4" a="1"/>
  <c r="AB301" i="4" s="1"/>
  <c r="R289" i="4" s="1"/>
  <c r="AB260" i="4" a="1"/>
  <c r="AB260" i="4" s="1"/>
  <c r="R249" i="4" s="1"/>
  <c r="AB278" i="4" a="1"/>
  <c r="AB278" i="4" s="1"/>
  <c r="R266" i="4" s="1"/>
  <c r="AB238" i="4" a="1"/>
  <c r="AB238" i="4" s="1"/>
  <c r="R227" i="4" s="1"/>
  <c r="AB199" i="4" a="1"/>
  <c r="AB199" i="4" s="1"/>
  <c r="R188" i="4" s="1"/>
  <c r="AB305" i="4" a="1"/>
  <c r="AB305" i="4" s="1"/>
  <c r="R293" i="4" s="1"/>
  <c r="AB54" i="4" a="1"/>
  <c r="AB54" i="4" s="1"/>
  <c r="R43" i="4" s="1"/>
  <c r="AB263" i="4" a="1"/>
  <c r="AB263" i="4" s="1"/>
  <c r="AB229" i="4" a="1"/>
  <c r="AB229" i="4" s="1"/>
  <c r="R218" i="4" s="1"/>
  <c r="AB101" i="4" a="1"/>
  <c r="AB101" i="4" s="1"/>
  <c r="R90" i="4" s="1"/>
  <c r="AB200" i="4" a="1"/>
  <c r="AB200" i="4" s="1"/>
  <c r="R189" i="4" s="1"/>
  <c r="AB251" i="4" a="1"/>
  <c r="AB251" i="4" s="1"/>
  <c r="R240" i="4" s="1"/>
  <c r="AB216" i="4" a="1"/>
  <c r="AB216" i="4" s="1"/>
  <c r="R205" i="4" s="1"/>
  <c r="AB300" i="4" a="1"/>
  <c r="AB300" i="4" s="1"/>
  <c r="R288" i="4" s="1"/>
  <c r="AB138" i="4" a="1"/>
  <c r="AB138" i="4" s="1"/>
  <c r="R127" i="4" s="1"/>
  <c r="AB73" i="4" a="1"/>
  <c r="AB73" i="4" s="1"/>
  <c r="R62" i="4" s="1"/>
  <c r="AB150" i="4" a="1"/>
  <c r="AB150" i="4" s="1"/>
  <c r="R139" i="4" s="1"/>
  <c r="AB66" i="4" a="1"/>
  <c r="AB66" i="4" s="1"/>
  <c r="R55" i="4" s="1"/>
  <c r="AB172" i="4" a="1"/>
  <c r="AB172" i="4" s="1"/>
  <c r="R161" i="4" s="1"/>
  <c r="AB276" i="4" a="1"/>
  <c r="AB276" i="4" s="1"/>
  <c r="R264" i="4" s="1"/>
  <c r="AB292" i="4" a="1"/>
  <c r="AB292" i="4" s="1"/>
  <c r="R280" i="4" s="1"/>
  <c r="AB87" i="4" a="1"/>
  <c r="AB87" i="4" s="1"/>
  <c r="R76" i="4" s="1"/>
  <c r="AB72" i="4" a="1"/>
  <c r="AB72" i="4" s="1"/>
  <c r="R61" i="4" s="1"/>
  <c r="AB108" i="4" a="1"/>
  <c r="AB108" i="4" s="1"/>
  <c r="R97" i="4" s="1"/>
  <c r="AB282" i="4" a="1"/>
  <c r="AB282" i="4" s="1"/>
  <c r="R270" i="4" s="1"/>
  <c r="AB110" i="4" a="1"/>
  <c r="AB110" i="4" s="1"/>
  <c r="R99" i="4" s="1"/>
  <c r="AB261" i="4" a="1"/>
  <c r="AB261" i="4" s="1"/>
  <c r="R250" i="4" s="1"/>
  <c r="AB167" i="4" a="1"/>
  <c r="AB167" i="4" s="1"/>
  <c r="R156" i="4" s="1"/>
  <c r="AB134" i="4" a="1"/>
  <c r="AB134" i="4" s="1"/>
  <c r="R123" i="4" s="1"/>
  <c r="AB295" i="4" a="1"/>
  <c r="AB295" i="4" s="1"/>
  <c r="R283" i="4" s="1"/>
  <c r="AB62" i="4" a="1"/>
  <c r="AB62" i="4" s="1"/>
  <c r="R51" i="4" s="1"/>
  <c r="AB74" i="4" a="1"/>
  <c r="AB74" i="4" s="1"/>
  <c r="R63" i="4" s="1"/>
  <c r="AB253" i="4" a="1"/>
  <c r="AB253" i="4" s="1"/>
  <c r="R242" i="4" s="1"/>
  <c r="AB45" i="4" a="1"/>
  <c r="AB45" i="4" s="1"/>
  <c r="R34" i="4" s="1"/>
  <c r="AB268" i="4" a="1"/>
  <c r="AB268" i="4" s="1"/>
  <c r="R256" i="4" s="1"/>
  <c r="AB304" i="4" a="1"/>
  <c r="AB304" i="4" s="1"/>
  <c r="R292" i="4" s="1"/>
  <c r="AB64" i="4" a="1"/>
  <c r="AB64" i="4" s="1"/>
  <c r="R53" i="4" s="1"/>
  <c r="AB267" i="4" a="1"/>
  <c r="AB267" i="4" s="1"/>
  <c r="R255" i="4" s="1"/>
  <c r="AB219" i="4" a="1"/>
  <c r="AB219" i="4" s="1"/>
  <c r="R208" i="4" s="1"/>
  <c r="AB182" i="4" a="1"/>
  <c r="AB182" i="4" s="1"/>
  <c r="R171" i="4" s="1"/>
  <c r="AB259" i="4" a="1"/>
  <c r="AB259" i="4" s="1"/>
  <c r="R248" i="4" s="1"/>
  <c r="AB180" i="4" a="1"/>
  <c r="AB180" i="4" s="1"/>
  <c r="R169" i="4" s="1"/>
  <c r="AB151" i="4" a="1"/>
  <c r="AB151" i="4" s="1"/>
  <c r="R140" i="4" s="1"/>
  <c r="AB57" i="4" a="1"/>
  <c r="AB57" i="4" s="1"/>
  <c r="R46" i="4" s="1"/>
  <c r="AB164" i="4" a="1"/>
  <c r="AB164" i="4" s="1"/>
  <c r="R153" i="4" s="1"/>
  <c r="AB77" i="4" a="1"/>
  <c r="AB77" i="4" s="1"/>
  <c r="R66" i="4" s="1"/>
  <c r="AB144" i="4" a="1"/>
  <c r="AB144" i="4" s="1"/>
  <c r="R133" i="4" s="1"/>
  <c r="AB247" i="4" a="1"/>
  <c r="AB247" i="4" s="1"/>
  <c r="R236" i="4" s="1"/>
  <c r="AB287" i="4" a="1"/>
  <c r="AB287" i="4" s="1"/>
  <c r="R275" i="4" s="1"/>
  <c r="AB173" i="4" a="1"/>
  <c r="AB173" i="4" s="1"/>
  <c r="R162" i="4" s="1"/>
  <c r="AB157" i="4" a="1"/>
  <c r="AB157" i="4" s="1"/>
  <c r="R146" i="4" s="1"/>
  <c r="AB240" i="4" a="1"/>
  <c r="AB240" i="4" s="1"/>
  <c r="R229" i="4" s="1"/>
  <c r="AB86" i="4" a="1"/>
  <c r="AB86" i="4" s="1"/>
  <c r="R75" i="4" s="1"/>
  <c r="AB50" i="4" a="1"/>
  <c r="AB50" i="4" s="1"/>
  <c r="R39" i="4" s="1"/>
  <c r="AB131" i="4" a="1"/>
  <c r="AB131" i="4" s="1"/>
  <c r="R120" i="4" s="1"/>
  <c r="AB210" i="4" a="1"/>
  <c r="AB210" i="4" s="1"/>
  <c r="R199" i="4" s="1"/>
  <c r="AB196" i="4" a="1"/>
  <c r="AB196" i="4" s="1"/>
  <c r="R185" i="4" s="1"/>
  <c r="AB81" i="4" a="1"/>
  <c r="AB81" i="4" s="1"/>
  <c r="R70" i="4" s="1"/>
  <c r="AB234" i="4" a="1"/>
  <c r="AB234" i="4" s="1"/>
  <c r="R223" i="4" s="1"/>
  <c r="AB236" i="4" a="1"/>
  <c r="AB236" i="4" s="1"/>
  <c r="R225" i="4" s="1"/>
  <c r="AB65" i="4" a="1"/>
  <c r="AB65" i="4" s="1"/>
  <c r="R54" i="4" s="1"/>
  <c r="AB228" i="4" a="1"/>
  <c r="AB228" i="4" s="1"/>
  <c r="R217" i="4" s="1"/>
  <c r="AB175" i="4" a="1"/>
  <c r="AB175" i="4" s="1"/>
  <c r="R164" i="4" s="1"/>
  <c r="AB245" i="4" a="1"/>
  <c r="AB245" i="4" s="1"/>
  <c r="R234" i="4" s="1"/>
  <c r="AB299" i="4" a="1"/>
  <c r="AB299" i="4" s="1"/>
  <c r="R287" i="4" s="1"/>
  <c r="AB145" i="4" a="1"/>
  <c r="AB145" i="4" s="1"/>
  <c r="R134" i="4" s="1"/>
  <c r="AB85" i="4" a="1"/>
  <c r="AB85" i="4" s="1"/>
  <c r="R74" i="4" s="1"/>
  <c r="AB147" i="4" a="1"/>
  <c r="AB147" i="4" s="1"/>
  <c r="R136" i="4" s="1"/>
  <c r="AB79" i="4" a="1"/>
  <c r="AB79" i="4" s="1"/>
  <c r="R68" i="4" s="1"/>
  <c r="AB165" i="4" a="1"/>
  <c r="AB165" i="4" s="1"/>
  <c r="R154" i="4" s="1"/>
  <c r="AB113" i="4" a="1"/>
  <c r="AB113" i="4" s="1"/>
  <c r="R102" i="4" s="1"/>
  <c r="AB252" i="4" a="1"/>
  <c r="AB252" i="4" s="1"/>
  <c r="R241" i="4" s="1"/>
  <c r="AB202" i="4" a="1"/>
  <c r="AB202" i="4" s="1"/>
  <c r="R191" i="4" s="1"/>
  <c r="AB140" i="4" a="1"/>
  <c r="AB140" i="4" s="1"/>
  <c r="R129" i="4" s="1"/>
  <c r="AB181" i="4" a="1"/>
  <c r="AB181" i="4" s="1"/>
  <c r="R170" i="4" s="1"/>
  <c r="X16" i="4" l="1"/>
  <c r="X21" i="4"/>
  <c r="X17" i="4"/>
  <c r="X25" i="4"/>
  <c r="X31" i="4"/>
  <c r="X32" i="4"/>
  <c r="X33" i="4"/>
  <c r="X8" i="4"/>
  <c r="X13" i="4"/>
  <c r="X29" i="4"/>
  <c r="X22" i="4"/>
  <c r="X12" i="4"/>
  <c r="X26" i="4"/>
  <c r="X27" i="4"/>
  <c r="X28" i="4"/>
  <c r="X9" i="4"/>
  <c r="X14" i="4"/>
  <c r="X10" i="4"/>
  <c r="X34" i="4"/>
  <c r="X15" i="4"/>
  <c r="X18" i="4"/>
  <c r="X11" i="4"/>
  <c r="X23" i="4"/>
  <c r="X19" i="4"/>
  <c r="X20" i="4"/>
  <c r="X24" i="4"/>
  <c r="X30" i="4"/>
</calcChain>
</file>

<file path=xl/sharedStrings.xml><?xml version="1.0" encoding="utf-8"?>
<sst xmlns="http://schemas.openxmlformats.org/spreadsheetml/2006/main" count="494" uniqueCount="356">
  <si>
    <t>Layer</t>
  </si>
  <si>
    <t>Mid Depth (m)</t>
  </si>
  <si>
    <t>Thickness (m)</t>
  </si>
  <si>
    <t>Unit Weight (kN/m3)</t>
  </si>
  <si>
    <t>PI</t>
  </si>
  <si>
    <t>Stress (kPa)</t>
  </si>
  <si>
    <t>Velocity (m/s)</t>
  </si>
  <si>
    <t>D_min (%)</t>
  </si>
  <si>
    <t>Scaled_D_min (%)</t>
  </si>
  <si>
    <t>GWT =</t>
  </si>
  <si>
    <t>m</t>
  </si>
  <si>
    <t>Layer Number</t>
  </si>
  <si>
    <t>Description</t>
  </si>
  <si>
    <t>Stress Calculated</t>
  </si>
  <si>
    <t>Stress</t>
  </si>
  <si>
    <t>asphalt</t>
  </si>
  <si>
    <t>CL-1</t>
  </si>
  <si>
    <t>SP-SM-1</t>
  </si>
  <si>
    <t>SM-1</t>
  </si>
  <si>
    <t>ML-CL-1</t>
  </si>
  <si>
    <t>CL-2</t>
  </si>
  <si>
    <t>SW</t>
  </si>
  <si>
    <t>ML-CL-2</t>
  </si>
  <si>
    <t>CL-3</t>
  </si>
  <si>
    <t>ML-CL-3</t>
  </si>
  <si>
    <t>SP</t>
  </si>
  <si>
    <t>SP-SM-2</t>
  </si>
  <si>
    <t>CL-4</t>
  </si>
  <si>
    <t>SM-2</t>
  </si>
  <si>
    <t>CL-5</t>
  </si>
  <si>
    <t>CL-6</t>
  </si>
  <si>
    <t>CL-7</t>
  </si>
  <si>
    <t>CL-8</t>
  </si>
  <si>
    <t>CL-9</t>
  </si>
  <si>
    <t>CL-10</t>
  </si>
  <si>
    <t>CL-11</t>
  </si>
  <si>
    <t>CL-12</t>
  </si>
  <si>
    <t>CL-13</t>
  </si>
  <si>
    <t>CL-14</t>
  </si>
  <si>
    <t>CL-15</t>
  </si>
  <si>
    <t>CL-16</t>
  </si>
  <si>
    <t>CL-17</t>
  </si>
  <si>
    <t>CL-18</t>
  </si>
  <si>
    <t>CL-19</t>
  </si>
  <si>
    <t>CL-20</t>
  </si>
  <si>
    <t>CL-21</t>
  </si>
  <si>
    <t>CL-22</t>
  </si>
  <si>
    <t>Extended Layer 1</t>
  </si>
  <si>
    <t>Extended Layer 2</t>
  </si>
  <si>
    <t>Extended Layer 3</t>
  </si>
  <si>
    <t>Extended Layer 4</t>
  </si>
  <si>
    <t>Extended Layer 5</t>
  </si>
  <si>
    <t>Extended Layer 6</t>
  </si>
  <si>
    <t>Extended Layer 7</t>
  </si>
  <si>
    <t>Extended Layer 8</t>
  </si>
  <si>
    <t>Extended Layer 9</t>
  </si>
  <si>
    <t>Extended Layer 10</t>
  </si>
  <si>
    <t>Extended Layer 11</t>
  </si>
  <si>
    <t>Extended Layer 12</t>
  </si>
  <si>
    <t>Extended Layer 13</t>
  </si>
  <si>
    <t>Extended Layer 14</t>
  </si>
  <si>
    <t>Extended Layer 15</t>
  </si>
  <si>
    <t>Extended Layer 16</t>
  </si>
  <si>
    <t>Extended Layer 17</t>
  </si>
  <si>
    <t>Extended Layer 18</t>
  </si>
  <si>
    <t>Extended Layer 19</t>
  </si>
  <si>
    <t>Extended Layer 20</t>
  </si>
  <si>
    <t>Extended Layer 21</t>
  </si>
  <si>
    <t>Extended Layer 22</t>
  </si>
  <si>
    <t>Extended Layer 23</t>
  </si>
  <si>
    <t>Extended Layer 24</t>
  </si>
  <si>
    <t>Extended Layer 25</t>
  </si>
  <si>
    <t>Extended Layer 26</t>
  </si>
  <si>
    <t>Extended Layer 27</t>
  </si>
  <si>
    <t>Extended Layer 28</t>
  </si>
  <si>
    <t>Extended Layer 29</t>
  </si>
  <si>
    <t>Extended Layer 30</t>
  </si>
  <si>
    <t>Extended Layer 31</t>
  </si>
  <si>
    <t>Extended Layer 32</t>
  </si>
  <si>
    <t>Extended Layer 33</t>
  </si>
  <si>
    <t>Extended Layer 34</t>
  </si>
  <si>
    <t>Extended Layer 35</t>
  </si>
  <si>
    <t>Extended Layer 36</t>
  </si>
  <si>
    <t>Extended Layer 37</t>
  </si>
  <si>
    <t>Extended Layer 38</t>
  </si>
  <si>
    <t>Extended Layer 39</t>
  </si>
  <si>
    <t>Extended Layer 40</t>
  </si>
  <si>
    <t>Extended Layer 41</t>
  </si>
  <si>
    <t>Extended Layer 42</t>
  </si>
  <si>
    <t>Extended Layer 43</t>
  </si>
  <si>
    <t>Extended Layer 44</t>
  </si>
  <si>
    <t>Extended Layer 45</t>
  </si>
  <si>
    <t>Extended Layer 46</t>
  </si>
  <si>
    <t>Extended Layer 47</t>
  </si>
  <si>
    <t>Extended Layer 48</t>
  </si>
  <si>
    <t>Extended Layer 49</t>
  </si>
  <si>
    <t>Extended Layer 50</t>
  </si>
  <si>
    <t>Extended Layer 51</t>
  </si>
  <si>
    <t>Extended Layer 52</t>
  </si>
  <si>
    <t>Extended Layer 53</t>
  </si>
  <si>
    <t>Extended Layer 54</t>
  </si>
  <si>
    <t>Extended Layer 55</t>
  </si>
  <si>
    <t>Extended Layer 56</t>
  </si>
  <si>
    <t>Extended Layer 57</t>
  </si>
  <si>
    <t>Extended Layer 58</t>
  </si>
  <si>
    <t>Extended Layer 59</t>
  </si>
  <si>
    <t>Extended Layer 60</t>
  </si>
  <si>
    <t>Extended Layer 61</t>
  </si>
  <si>
    <t>Extended Layer 62</t>
  </si>
  <si>
    <t>Extended Layer 63</t>
  </si>
  <si>
    <t>Extended Layer 64</t>
  </si>
  <si>
    <t>Extended Layer 65</t>
  </si>
  <si>
    <t>Extended Layer 66</t>
  </si>
  <si>
    <t>Extended Layer 67</t>
  </si>
  <si>
    <t>Extended Layer 68</t>
  </si>
  <si>
    <t>Extended Layer 69</t>
  </si>
  <si>
    <t>Extended Layer 70</t>
  </si>
  <si>
    <t>Extended Layer 71</t>
  </si>
  <si>
    <t>Extended Layer 72</t>
  </si>
  <si>
    <t>Extended Layer 73</t>
  </si>
  <si>
    <t>Extended Layer 74</t>
  </si>
  <si>
    <t>Extended Layer 75</t>
  </si>
  <si>
    <t>Extended Layer 76</t>
  </si>
  <si>
    <t>Extended Layer 77</t>
  </si>
  <si>
    <t>Extended Layer 78</t>
  </si>
  <si>
    <t>Extended Layer 79</t>
  </si>
  <si>
    <t>Extended Layer 80</t>
  </si>
  <si>
    <t>Extended Layer 81</t>
  </si>
  <si>
    <t>Extended Layer 82</t>
  </si>
  <si>
    <t>Extended Layer 83</t>
  </si>
  <si>
    <t>Extended Layer 84</t>
  </si>
  <si>
    <t>Extended Layer 85</t>
  </si>
  <si>
    <t>Extended Layer 86</t>
  </si>
  <si>
    <t>Extended Layer 87</t>
  </si>
  <si>
    <t>Extended Layer 88</t>
  </si>
  <si>
    <t>Extended Layer 89</t>
  </si>
  <si>
    <t>Extended Layer 90</t>
  </si>
  <si>
    <t>Extended Layer 91</t>
  </si>
  <si>
    <t>Extended Layer 92</t>
  </si>
  <si>
    <t>Extended Layer 93</t>
  </si>
  <si>
    <t>Extended Layer 94</t>
  </si>
  <si>
    <t>Extended Layer 95</t>
  </si>
  <si>
    <t>Extended Layer 96</t>
  </si>
  <si>
    <t>Extended Layer 97</t>
  </si>
  <si>
    <t>Extended Layer 98</t>
  </si>
  <si>
    <t>Extended Layer 99</t>
  </si>
  <si>
    <t>Extended Layer 100</t>
  </si>
  <si>
    <t>Extended Layer 101</t>
  </si>
  <si>
    <t>Extended Layer 102</t>
  </si>
  <si>
    <t>Extended Layer 103</t>
  </si>
  <si>
    <t>Extended Layer 104</t>
  </si>
  <si>
    <t>Extended Layer 105</t>
  </si>
  <si>
    <t>Extended Layer 106</t>
  </si>
  <si>
    <t>Extended Layer 107</t>
  </si>
  <si>
    <t>Extended Layer 108</t>
  </si>
  <si>
    <t>Extended Layer 109</t>
  </si>
  <si>
    <t>Extended Layer 110</t>
  </si>
  <si>
    <t>Extended Layer 111</t>
  </si>
  <si>
    <t>Extended Layer 112</t>
  </si>
  <si>
    <t>Extended Layer 113</t>
  </si>
  <si>
    <t>Extended Layer 114</t>
  </si>
  <si>
    <t>Extended Layer 115</t>
  </si>
  <si>
    <t>Extended Layer 116</t>
  </si>
  <si>
    <t>Extended Layer 117</t>
  </si>
  <si>
    <t>Extended Layer 118</t>
  </si>
  <si>
    <t>Extended Layer 119</t>
  </si>
  <si>
    <t>Extended Layer 120</t>
  </si>
  <si>
    <t>Extended Layer 121</t>
  </si>
  <si>
    <t>Extended Layer 122</t>
  </si>
  <si>
    <t>Extended Layer 123</t>
  </si>
  <si>
    <t>Extended Layer 124</t>
  </si>
  <si>
    <t>Extended Layer 125</t>
  </si>
  <si>
    <t>Extended Layer 126</t>
  </si>
  <si>
    <t>Extended Layer 127</t>
  </si>
  <si>
    <t>Extended Layer 128</t>
  </si>
  <si>
    <t>Extended Layer 129</t>
  </si>
  <si>
    <t>Extended Layer 130</t>
  </si>
  <si>
    <t>Extended Layer 131</t>
  </si>
  <si>
    <t>Extended Layer 132</t>
  </si>
  <si>
    <t>Extended Layer 133</t>
  </si>
  <si>
    <t>Extended Layer 134</t>
  </si>
  <si>
    <t>Extended Layer 135</t>
  </si>
  <si>
    <t>Extended Layer 136</t>
  </si>
  <si>
    <t>Extended Layer 137</t>
  </si>
  <si>
    <t>Extended Layer 138</t>
  </si>
  <si>
    <t>Extended Layer 139</t>
  </si>
  <si>
    <t>Extended Layer 140</t>
  </si>
  <si>
    <t>Extended Layer 141</t>
  </si>
  <si>
    <t>Extended Layer 142</t>
  </si>
  <si>
    <t>Extended Layer 143</t>
  </si>
  <si>
    <t>Extended Layer 144</t>
  </si>
  <si>
    <t>Extended Layer 145</t>
  </si>
  <si>
    <t>Extended Layer 146</t>
  </si>
  <si>
    <t>Extended Layer 147</t>
  </si>
  <si>
    <t>Extended Layer 148</t>
  </si>
  <si>
    <t>Extended Layer 149</t>
  </si>
  <si>
    <t>Extended Layer 150</t>
  </si>
  <si>
    <t>Extended Layer 151</t>
  </si>
  <si>
    <t>Extended Layer 152</t>
  </si>
  <si>
    <t>Extended Layer 153</t>
  </si>
  <si>
    <t>Extended Layer 154</t>
  </si>
  <si>
    <t>Extended Layer 155</t>
  </si>
  <si>
    <t>Extended Layer 156</t>
  </si>
  <si>
    <t>Extended Layer 157</t>
  </si>
  <si>
    <t>Extended Layer 158</t>
  </si>
  <si>
    <t>Extended Layer 159</t>
  </si>
  <si>
    <t>Extended Layer 160</t>
  </si>
  <si>
    <t>Extended Layer 161</t>
  </si>
  <si>
    <t>Extended Layer 162</t>
  </si>
  <si>
    <t>Extended Layer 163</t>
  </si>
  <si>
    <t>Extended Layer 164</t>
  </si>
  <si>
    <t>Extended Layer 165</t>
  </si>
  <si>
    <t>Extended Layer 166</t>
  </si>
  <si>
    <t>Extended Layer 167</t>
  </si>
  <si>
    <t>Extended Layer 168</t>
  </si>
  <si>
    <t>Extended Layer 169</t>
  </si>
  <si>
    <t>Extended Layer 170</t>
  </si>
  <si>
    <t>Extended Layer 171</t>
  </si>
  <si>
    <t>Extended Layer 172</t>
  </si>
  <si>
    <t>Extended Layer 173</t>
  </si>
  <si>
    <t>Extended Layer 174</t>
  </si>
  <si>
    <t>Extended Layer 175</t>
  </si>
  <si>
    <t>Extended Layer 176</t>
  </si>
  <si>
    <t>Extended Layer 177</t>
  </si>
  <si>
    <t>Extended Layer 178</t>
  </si>
  <si>
    <t>Extended Layer 179</t>
  </si>
  <si>
    <t>Extended Layer 180</t>
  </si>
  <si>
    <t>Extended Layer 181</t>
  </si>
  <si>
    <t>Extended Layer 182</t>
  </si>
  <si>
    <t>Extended Layer 183</t>
  </si>
  <si>
    <t>Extended Layer 184</t>
  </si>
  <si>
    <t>Extended Layer 185</t>
  </si>
  <si>
    <t>Extended Layer 186</t>
  </si>
  <si>
    <t>Extended Layer 187</t>
  </si>
  <si>
    <t>Extended Layer 188</t>
  </si>
  <si>
    <t>Extended Layer 189</t>
  </si>
  <si>
    <t>Extended Layer 190</t>
  </si>
  <si>
    <t>Extended Layer 191</t>
  </si>
  <si>
    <t>Extended Layer 192</t>
  </si>
  <si>
    <t>Extended Layer 193</t>
  </si>
  <si>
    <t>Extended Layer 194</t>
  </si>
  <si>
    <t>Extended Layer 195</t>
  </si>
  <si>
    <t>Extended Layer 196</t>
  </si>
  <si>
    <t>Extended Layer 197</t>
  </si>
  <si>
    <t>Extended Layer 198</t>
  </si>
  <si>
    <t>Extended Layer 199</t>
  </si>
  <si>
    <t>Extended Layer 200</t>
  </si>
  <si>
    <t>Extended Layer 201</t>
  </si>
  <si>
    <t>Extended Layer 202</t>
  </si>
  <si>
    <t>Extended Layer 203</t>
  </si>
  <si>
    <t>Extended Layer 204</t>
  </si>
  <si>
    <t>Extended Layer 205</t>
  </si>
  <si>
    <t>Extended Layer 206</t>
  </si>
  <si>
    <t>Extended Layer 207</t>
  </si>
  <si>
    <t>Extended Layer 208</t>
  </si>
  <si>
    <t>Extended Layer 209</t>
  </si>
  <si>
    <t>Extended Layer 210</t>
  </si>
  <si>
    <t>Extended Layer 211</t>
  </si>
  <si>
    <t>Extended Layer 212</t>
  </si>
  <si>
    <t>Extended Layer 213</t>
  </si>
  <si>
    <t>Extended Layer 214</t>
  </si>
  <si>
    <t>Extended Layer 215</t>
  </si>
  <si>
    <t>Extended Layer 216</t>
  </si>
  <si>
    <t>Extended Layer 217</t>
  </si>
  <si>
    <t>Extended Layer 218</t>
  </si>
  <si>
    <t>Extended Layer 219</t>
  </si>
  <si>
    <t>Extended Layer 220</t>
  </si>
  <si>
    <t>Extended Layer 221</t>
  </si>
  <si>
    <t>Extended Layer 222</t>
  </si>
  <si>
    <t>Extended Layer 223</t>
  </si>
  <si>
    <t>Extended Layer 224</t>
  </si>
  <si>
    <t>Extended Layer 225</t>
  </si>
  <si>
    <t>Extended Layer 226</t>
  </si>
  <si>
    <t>Extended Layer 227</t>
  </si>
  <si>
    <t>Extended Layer 228</t>
  </si>
  <si>
    <t>Extended Layer 229</t>
  </si>
  <si>
    <t>Extended Layer 230</t>
  </si>
  <si>
    <t>Extended Layer 231</t>
  </si>
  <si>
    <t>Extended Layer 232</t>
  </si>
  <si>
    <t>Extended Layer 233</t>
  </si>
  <si>
    <t>Extended Layer 234</t>
  </si>
  <si>
    <t>Extended Layer 235</t>
  </si>
  <si>
    <t>Extended Layer 236</t>
  </si>
  <si>
    <t>Extended Layer 237</t>
  </si>
  <si>
    <t>Extended Layer 238</t>
  </si>
  <si>
    <t>Extended Layer 239</t>
  </si>
  <si>
    <t>Extended Layer 240</t>
  </si>
  <si>
    <t>Extended Layer 241</t>
  </si>
  <si>
    <t>Extended Layer 242</t>
  </si>
  <si>
    <t>Extended Layer 243</t>
  </si>
  <si>
    <t>Extended Layer 244</t>
  </si>
  <si>
    <t>Extended Layer 245</t>
  </si>
  <si>
    <t>Extended Layer 246</t>
  </si>
  <si>
    <t>Extended Layer 247</t>
  </si>
  <si>
    <t>Extended Layer 248</t>
  </si>
  <si>
    <t>Extended Layer 249</t>
  </si>
  <si>
    <t>Extended Layer 250</t>
  </si>
  <si>
    <t>Extended Layer 251</t>
  </si>
  <si>
    <t>Extended Layer 252</t>
  </si>
  <si>
    <t>Extended Layer 253</t>
  </si>
  <si>
    <t>Extended Layer 254</t>
  </si>
  <si>
    <t>Extended Layer 255</t>
  </si>
  <si>
    <t>Extended Layer 256</t>
  </si>
  <si>
    <t>Extended Layer 257</t>
  </si>
  <si>
    <t>Extended Layer 258</t>
  </si>
  <si>
    <t>Extended Layer 259</t>
  </si>
  <si>
    <t>Extended Layer 260</t>
  </si>
  <si>
    <t>Extended Layer 261</t>
  </si>
  <si>
    <t>Extended Layer 262</t>
  </si>
  <si>
    <t>Extended Layer 263</t>
  </si>
  <si>
    <t>Extended Layer 264</t>
  </si>
  <si>
    <t>Extended Layer 265</t>
  </si>
  <si>
    <t>Extended Layer 266</t>
  </si>
  <si>
    <t>Extended Layer 267</t>
  </si>
  <si>
    <t>Extended Layer 268</t>
  </si>
  <si>
    <t>Extended Layer 269</t>
  </si>
  <si>
    <t>Extended Layer 270</t>
  </si>
  <si>
    <t>Extended Layer 271</t>
  </si>
  <si>
    <t>Extended Layer 272</t>
  </si>
  <si>
    <t>Extended Layer 273</t>
  </si>
  <si>
    <t>Extended Layer 274</t>
  </si>
  <si>
    <t>Extended Layer 275</t>
  </si>
  <si>
    <t>Extended Layer 276</t>
  </si>
  <si>
    <t>Extended Layer 277</t>
  </si>
  <si>
    <t>Top Depth</t>
  </si>
  <si>
    <t>Bot Depth</t>
  </si>
  <si>
    <t>Total Stress (kPa)</t>
  </si>
  <si>
    <t>Pore Pressure (kPa)</t>
  </si>
  <si>
    <t>Effective Stress (kPa)</t>
  </si>
  <si>
    <t>Mean Effective Stress (kPa)</t>
  </si>
  <si>
    <t>Stress to use in MRD</t>
  </si>
  <si>
    <t>MRD</t>
  </si>
  <si>
    <t>Fundamental Freq</t>
  </si>
  <si>
    <t>Fundamental Period</t>
  </si>
  <si>
    <t>Data from CESMD/Afshari</t>
  </si>
  <si>
    <t>Unit Weight Estimation</t>
  </si>
  <si>
    <t>Moving Average Vs</t>
  </si>
  <si>
    <t>Soil Description Per Layer</t>
  </si>
  <si>
    <t>Vs and Soil Description for each layer in the CESMD profile</t>
  </si>
  <si>
    <t>More Discretized Soil Profile</t>
  </si>
  <si>
    <t>Depth (m)</t>
  </si>
  <si>
    <t>Vp (m/sec)</t>
  </si>
  <si>
    <t>Vs (m/sec)</t>
  </si>
  <si>
    <t>Soil description</t>
  </si>
  <si>
    <t>unit weight</t>
  </si>
  <si>
    <t>Thickness m)</t>
  </si>
  <si>
    <t>Bottom Depth</t>
  </si>
  <si>
    <t>Vs Average (m/s) based on Soil Description</t>
  </si>
  <si>
    <t>unit weight based on Soil Description</t>
  </si>
  <si>
    <t>Depth</t>
  </si>
  <si>
    <t>CL</t>
  </si>
  <si>
    <t>SP-SM</t>
  </si>
  <si>
    <t>SM</t>
  </si>
  <si>
    <t>ML-CL</t>
  </si>
  <si>
    <t>Max Freq</t>
  </si>
  <si>
    <t>Wave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</si>
</sst>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1"/>
  </cellStyleXfs>
  <cellXfs count="52">
    <xf numFmtId="0" fontId="0" fillId="0" borderId="0" xfId="0" applyBorder="1"/>
    <xf numFmtId="3" fontId="0" fillId="0" borderId="0" xfId="0" applyNumberFormat="1" applyBorder="1"/>
    <xf numFmtId="0" fontId="1" fillId="0" borderId="1" xfId="0" applyFont="1" applyAlignment="1">
      <alignment horizontal="right"/>
    </xf>
    <xf numFmtId="4" fontId="1" fillId="0" borderId="1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4" fontId="1" fillId="0" borderId="1" xfId="0" applyNumberFormat="1" applyFont="1" applyAlignment="1">
      <alignment horizontal="left"/>
    </xf>
    <xf numFmtId="4" fontId="0" fillId="0" borderId="0" xfId="0" applyNumberFormat="1" applyBorder="1"/>
    <xf numFmtId="3" fontId="1" fillId="0" borderId="1" xfId="0" applyNumberFormat="1" applyFont="1" applyAlignment="1">
      <alignment horizontal="left"/>
    </xf>
    <xf numFmtId="0" fontId="1" fillId="0" borderId="1" xfId="0" applyFont="1" applyAlignment="1">
      <alignment horizontal="center"/>
    </xf>
    <xf numFmtId="3" fontId="1" fillId="0" borderId="1" xfId="0" applyNumberFormat="1" applyFont="1" applyAlignment="1">
      <alignment horizontal="center"/>
    </xf>
    <xf numFmtId="3" fontId="1" fillId="2" borderId="2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center"/>
    </xf>
    <xf numFmtId="3" fontId="1" fillId="0" borderId="1" xfId="0" applyNumberFormat="1" applyFont="1" applyAlignment="1">
      <alignment horizontal="right"/>
    </xf>
    <xf numFmtId="4" fontId="1" fillId="0" borderId="1" xfId="0" applyNumberFormat="1" applyFont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0" fontId="1" fillId="0" borderId="1" xfId="0" applyFont="1" applyAlignment="1">
      <alignment horizontal="left"/>
    </xf>
    <xf numFmtId="3" fontId="0" fillId="0" borderId="0" xfId="0" applyNumberFormat="1" applyBorder="1" applyAlignment="1">
      <alignment horizontal="center"/>
    </xf>
    <xf numFmtId="3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right"/>
    </xf>
    <xf numFmtId="0" fontId="0" fillId="0" borderId="3" xfId="0" applyBorder="1"/>
    <xf numFmtId="4" fontId="1" fillId="0" borderId="3" xfId="0" applyNumberFormat="1" applyFont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4" fontId="2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4" fontId="1" fillId="0" borderId="5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1" fillId="0" borderId="1" xfId="0" applyNumberFormat="1" applyFont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3" fontId="1" fillId="0" borderId="1" xfId="0" applyNumberFormat="1" applyFont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6" xfId="0" applyBorder="1"/>
    <xf numFmtId="3" fontId="0" fillId="7" borderId="7" xfId="0" applyNumberFormat="1" applyFill="1" applyBorder="1" applyAlignment="1">
      <alignment horizontal="center" vertical="center"/>
    </xf>
    <xf numFmtId="0" fontId="0" fillId="0" borderId="5" xfId="0" applyBorder="1"/>
    <xf numFmtId="4" fontId="0" fillId="4" borderId="7" xfId="0" applyNumberFormat="1" applyFill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3" fontId="0" fillId="8" borderId="7" xfId="0" applyNumberFormat="1" applyFill="1" applyBorder="1" applyAlignment="1">
      <alignment horizontal="center" vertical="center"/>
    </xf>
    <xf numFmtId="3" fontId="0" fillId="5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Vs Profile</c:v>
          </c:tx>
          <c:spPr>
            <a:ln w="1905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xVal>
            <c:numRef>
              <c:f>'Full Profile'!$E$4:$E$312</c:f>
              <c:numCache>
                <c:formatCode>#,##0.00</c:formatCode>
                <c:ptCount val="309"/>
                <c:pt idx="0">
                  <c:v>147.601</c:v>
                </c:pt>
                <c:pt idx="1">
                  <c:v>147.601</c:v>
                </c:pt>
                <c:pt idx="2">
                  <c:v>147.601</c:v>
                </c:pt>
                <c:pt idx="3">
                  <c:v>147.601</c:v>
                </c:pt>
                <c:pt idx="4">
                  <c:v>147.601</c:v>
                </c:pt>
                <c:pt idx="5">
                  <c:v>163.7498181818182</c:v>
                </c:pt>
                <c:pt idx="6">
                  <c:v>194.77128571428571</c:v>
                </c:pt>
                <c:pt idx="7">
                  <c:v>254.20914285714281</c:v>
                </c:pt>
                <c:pt idx="8">
                  <c:v>253.2722</c:v>
                </c:pt>
                <c:pt idx="9">
                  <c:v>280.43566666666669</c:v>
                </c:pt>
                <c:pt idx="10">
                  <c:v>256.10758333333342</c:v>
                </c:pt>
                <c:pt idx="11">
                  <c:v>252.1049166666667</c:v>
                </c:pt>
                <c:pt idx="12">
                  <c:v>229.08674999999999</c:v>
                </c:pt>
                <c:pt idx="13">
                  <c:v>284.23284000000001</c:v>
                </c:pt>
                <c:pt idx="14">
                  <c:v>336.60216666666668</c:v>
                </c:pt>
                <c:pt idx="15">
                  <c:v>345.52519999999998</c:v>
                </c:pt>
                <c:pt idx="16">
                  <c:v>330.69930000000011</c:v>
                </c:pt>
                <c:pt idx="17">
                  <c:v>401.21390000000002</c:v>
                </c:pt>
                <c:pt idx="18">
                  <c:v>416.64722222222218</c:v>
                </c:pt>
                <c:pt idx="19">
                  <c:v>390.74349999999998</c:v>
                </c:pt>
                <c:pt idx="20">
                  <c:v>447.57044444444438</c:v>
                </c:pt>
                <c:pt idx="21">
                  <c:v>408.6927</c:v>
                </c:pt>
                <c:pt idx="22">
                  <c:v>392.07549999999998</c:v>
                </c:pt>
                <c:pt idx="23">
                  <c:v>543.87430000000006</c:v>
                </c:pt>
                <c:pt idx="24">
                  <c:v>481.63619999999997</c:v>
                </c:pt>
                <c:pt idx="25">
                  <c:v>535.28859999999997</c:v>
                </c:pt>
                <c:pt idx="26">
                  <c:v>572.80110000000002</c:v>
                </c:pt>
                <c:pt idx="27">
                  <c:v>479.34545454545457</c:v>
                </c:pt>
                <c:pt idx="28">
                  <c:v>471.125</c:v>
                </c:pt>
                <c:pt idx="29">
                  <c:v>568.93466666666654</c:v>
                </c:pt>
                <c:pt idx="30">
                  <c:v>685.59800000000018</c:v>
                </c:pt>
                <c:pt idx="31">
                  <c:v>635.83345454545452</c:v>
                </c:pt>
                <c:pt idx="32">
                  <c:v>639.74268440873846</c:v>
                </c:pt>
                <c:pt idx="33">
                  <c:v>643.75215093518364</c:v>
                </c:pt>
                <c:pt idx="34">
                  <c:v>647.7616174616287</c:v>
                </c:pt>
                <c:pt idx="35">
                  <c:v>651.77108398807388</c:v>
                </c:pt>
                <c:pt idx="36">
                  <c:v>655.78055051451895</c:v>
                </c:pt>
                <c:pt idx="37">
                  <c:v>659.79001704096413</c:v>
                </c:pt>
                <c:pt idx="38">
                  <c:v>663.7994835674092</c:v>
                </c:pt>
                <c:pt idx="39">
                  <c:v>667.80895009385426</c:v>
                </c:pt>
                <c:pt idx="40">
                  <c:v>671.81841662029944</c:v>
                </c:pt>
                <c:pt idx="41">
                  <c:v>675.82788314674451</c:v>
                </c:pt>
                <c:pt idx="42">
                  <c:v>679.83734967318969</c:v>
                </c:pt>
                <c:pt idx="43">
                  <c:v>683.84681619963476</c:v>
                </c:pt>
                <c:pt idx="44">
                  <c:v>687.85628272607994</c:v>
                </c:pt>
                <c:pt idx="45">
                  <c:v>691.86574925252501</c:v>
                </c:pt>
                <c:pt idx="46">
                  <c:v>695.87521577897019</c:v>
                </c:pt>
                <c:pt idx="47">
                  <c:v>699.88468230541525</c:v>
                </c:pt>
                <c:pt idx="48">
                  <c:v>703.89414883186032</c:v>
                </c:pt>
                <c:pt idx="49">
                  <c:v>707.9036153583055</c:v>
                </c:pt>
                <c:pt idx="50">
                  <c:v>711.91308188475057</c:v>
                </c:pt>
                <c:pt idx="51">
                  <c:v>715.92254841119575</c:v>
                </c:pt>
                <c:pt idx="52">
                  <c:v>719.93201493764082</c:v>
                </c:pt>
                <c:pt idx="53">
                  <c:v>723.94148146408588</c:v>
                </c:pt>
                <c:pt idx="54">
                  <c:v>727.95094799053106</c:v>
                </c:pt>
                <c:pt idx="55">
                  <c:v>731.96041451697613</c:v>
                </c:pt>
                <c:pt idx="56">
                  <c:v>735.96988104342131</c:v>
                </c:pt>
                <c:pt idx="57">
                  <c:v>739.97934756986638</c:v>
                </c:pt>
                <c:pt idx="58">
                  <c:v>743.98881409631156</c:v>
                </c:pt>
                <c:pt idx="59">
                  <c:v>747.99828062275662</c:v>
                </c:pt>
                <c:pt idx="60">
                  <c:v>752.0077471492018</c:v>
                </c:pt>
                <c:pt idx="61">
                  <c:v>756.01721367564687</c:v>
                </c:pt>
                <c:pt idx="62">
                  <c:v>760.02668020209194</c:v>
                </c:pt>
                <c:pt idx="63">
                  <c:v>764.03614672853712</c:v>
                </c:pt>
                <c:pt idx="64">
                  <c:v>768.04561325498219</c:v>
                </c:pt>
                <c:pt idx="65">
                  <c:v>772.05507978142737</c:v>
                </c:pt>
                <c:pt idx="66">
                  <c:v>776.06454630787243</c:v>
                </c:pt>
                <c:pt idx="67">
                  <c:v>780.07401283431761</c:v>
                </c:pt>
                <c:pt idx="68">
                  <c:v>784.08347936076268</c:v>
                </c:pt>
                <c:pt idx="69">
                  <c:v>788.09294588720786</c:v>
                </c:pt>
                <c:pt idx="70">
                  <c:v>792.10241241365293</c:v>
                </c:pt>
                <c:pt idx="71">
                  <c:v>796.11187894009799</c:v>
                </c:pt>
                <c:pt idx="72">
                  <c:v>800.12134546654318</c:v>
                </c:pt>
                <c:pt idx="73">
                  <c:v>804.13081199298824</c:v>
                </c:pt>
                <c:pt idx="74">
                  <c:v>808.14027851943342</c:v>
                </c:pt>
                <c:pt idx="75">
                  <c:v>812.14974504587849</c:v>
                </c:pt>
                <c:pt idx="76">
                  <c:v>816.15921157232356</c:v>
                </c:pt>
                <c:pt idx="77">
                  <c:v>820.16867809876874</c:v>
                </c:pt>
                <c:pt idx="78">
                  <c:v>824.17814462521392</c:v>
                </c:pt>
                <c:pt idx="79">
                  <c:v>828.18761115165898</c:v>
                </c:pt>
                <c:pt idx="80">
                  <c:v>832.19707767810405</c:v>
                </c:pt>
                <c:pt idx="81">
                  <c:v>836.20654420454923</c:v>
                </c:pt>
                <c:pt idx="82">
                  <c:v>840.2160107309943</c:v>
                </c:pt>
                <c:pt idx="83">
                  <c:v>844.22547725743948</c:v>
                </c:pt>
                <c:pt idx="84">
                  <c:v>848.23494378388455</c:v>
                </c:pt>
                <c:pt idx="85">
                  <c:v>852.24441031032961</c:v>
                </c:pt>
                <c:pt idx="86">
                  <c:v>856.25387683677479</c:v>
                </c:pt>
                <c:pt idx="87">
                  <c:v>860.26334336321986</c:v>
                </c:pt>
                <c:pt idx="88">
                  <c:v>864.27280988966504</c:v>
                </c:pt>
                <c:pt idx="89">
                  <c:v>868.28227641611011</c:v>
                </c:pt>
                <c:pt idx="90">
                  <c:v>872.29174294255529</c:v>
                </c:pt>
                <c:pt idx="91">
                  <c:v>876.30120946900036</c:v>
                </c:pt>
                <c:pt idx="92">
                  <c:v>880.31067599544554</c:v>
                </c:pt>
                <c:pt idx="93">
                  <c:v>884.3201425218906</c:v>
                </c:pt>
                <c:pt idx="94">
                  <c:v>888.32960904833567</c:v>
                </c:pt>
                <c:pt idx="95">
                  <c:v>892.33907557478085</c:v>
                </c:pt>
                <c:pt idx="96">
                  <c:v>896.34854210122592</c:v>
                </c:pt>
                <c:pt idx="97">
                  <c:v>900.3580086276711</c:v>
                </c:pt>
                <c:pt idx="98">
                  <c:v>904.36747515411616</c:v>
                </c:pt>
                <c:pt idx="99">
                  <c:v>908.37694168056123</c:v>
                </c:pt>
                <c:pt idx="100">
                  <c:v>912.38640820700641</c:v>
                </c:pt>
                <c:pt idx="101">
                  <c:v>916.39587473345159</c:v>
                </c:pt>
                <c:pt idx="102">
                  <c:v>920.40534125989666</c:v>
                </c:pt>
                <c:pt idx="103">
                  <c:v>924.41480778634173</c:v>
                </c:pt>
                <c:pt idx="104">
                  <c:v>928.42427431278679</c:v>
                </c:pt>
                <c:pt idx="105">
                  <c:v>932.43374083923197</c:v>
                </c:pt>
                <c:pt idx="106">
                  <c:v>936.44320736567715</c:v>
                </c:pt>
                <c:pt idx="107">
                  <c:v>940.45267389212222</c:v>
                </c:pt>
                <c:pt idx="108">
                  <c:v>944.46214041856729</c:v>
                </c:pt>
                <c:pt idx="109">
                  <c:v>950.476340208235</c:v>
                </c:pt>
                <c:pt idx="110">
                  <c:v>958.49527326112525</c:v>
                </c:pt>
                <c:pt idx="111">
                  <c:v>966.5142063140155</c:v>
                </c:pt>
                <c:pt idx="112">
                  <c:v>974.53313936690574</c:v>
                </c:pt>
                <c:pt idx="113">
                  <c:v>982.55207241979588</c:v>
                </c:pt>
                <c:pt idx="114">
                  <c:v>990.57100547268624</c:v>
                </c:pt>
                <c:pt idx="115">
                  <c:v>998.58993852557637</c:v>
                </c:pt>
                <c:pt idx="116">
                  <c:v>1006.6088715784666</c:v>
                </c:pt>
                <c:pt idx="117">
                  <c:v>1014.6278046313569</c:v>
                </c:pt>
                <c:pt idx="118">
                  <c:v>1022.6467376842471</c:v>
                </c:pt>
                <c:pt idx="119">
                  <c:v>1030.6656707371374</c:v>
                </c:pt>
                <c:pt idx="120">
                  <c:v>1038.6846037900275</c:v>
                </c:pt>
                <c:pt idx="121">
                  <c:v>1046.7035368429179</c:v>
                </c:pt>
                <c:pt idx="122">
                  <c:v>1054.722469895808</c:v>
                </c:pt>
                <c:pt idx="123">
                  <c:v>1062.7414029486984</c:v>
                </c:pt>
                <c:pt idx="124">
                  <c:v>1070.7603360015885</c:v>
                </c:pt>
                <c:pt idx="125">
                  <c:v>1078.7792690544788</c:v>
                </c:pt>
                <c:pt idx="126">
                  <c:v>1086.798202107369</c:v>
                </c:pt>
                <c:pt idx="127">
                  <c:v>1094.8171351602591</c:v>
                </c:pt>
                <c:pt idx="128">
                  <c:v>1102.8360682131495</c:v>
                </c:pt>
                <c:pt idx="129">
                  <c:v>1110.8550012660396</c:v>
                </c:pt>
                <c:pt idx="130">
                  <c:v>1118.87393431893</c:v>
                </c:pt>
                <c:pt idx="131">
                  <c:v>1126.8928673718201</c:v>
                </c:pt>
                <c:pt idx="132">
                  <c:v>1134.9118004247102</c:v>
                </c:pt>
                <c:pt idx="133">
                  <c:v>1142.9307334776006</c:v>
                </c:pt>
                <c:pt idx="134">
                  <c:v>1150.949666530491</c:v>
                </c:pt>
                <c:pt idx="135">
                  <c:v>1158.9685995833811</c:v>
                </c:pt>
                <c:pt idx="136">
                  <c:v>1166.9875326362712</c:v>
                </c:pt>
                <c:pt idx="137">
                  <c:v>1175.0064656891614</c:v>
                </c:pt>
                <c:pt idx="138">
                  <c:v>1183.0253987420517</c:v>
                </c:pt>
                <c:pt idx="139">
                  <c:v>1191.0443317949421</c:v>
                </c:pt>
                <c:pt idx="140">
                  <c:v>1199.0632648478322</c:v>
                </c:pt>
                <c:pt idx="141">
                  <c:v>1207.0821979007223</c:v>
                </c:pt>
                <c:pt idx="142">
                  <c:v>1215.1011309536127</c:v>
                </c:pt>
                <c:pt idx="143">
                  <c:v>1223.1200640065031</c:v>
                </c:pt>
                <c:pt idx="144">
                  <c:v>1231.1389970593932</c:v>
                </c:pt>
                <c:pt idx="145">
                  <c:v>1239.1579301122833</c:v>
                </c:pt>
                <c:pt idx="146">
                  <c:v>1247.1768631651735</c:v>
                </c:pt>
                <c:pt idx="147">
                  <c:v>1255.1957962180638</c:v>
                </c:pt>
                <c:pt idx="148">
                  <c:v>1263.2147292709542</c:v>
                </c:pt>
                <c:pt idx="149">
                  <c:v>1271.2336623238443</c:v>
                </c:pt>
                <c:pt idx="150">
                  <c:v>1279.2525953767345</c:v>
                </c:pt>
                <c:pt idx="151">
                  <c:v>1287.2715284296248</c:v>
                </c:pt>
                <c:pt idx="152">
                  <c:v>1295.290461482515</c:v>
                </c:pt>
                <c:pt idx="153">
                  <c:v>1303.3093945354053</c:v>
                </c:pt>
                <c:pt idx="154">
                  <c:v>1311.3283275882955</c:v>
                </c:pt>
                <c:pt idx="155">
                  <c:v>1319.3472606411856</c:v>
                </c:pt>
                <c:pt idx="156">
                  <c:v>1327.3661936940759</c:v>
                </c:pt>
                <c:pt idx="157">
                  <c:v>1335.3851267469663</c:v>
                </c:pt>
                <c:pt idx="158">
                  <c:v>1343.4040597998564</c:v>
                </c:pt>
                <c:pt idx="159">
                  <c:v>1355.4324593791916</c:v>
                </c:pt>
                <c:pt idx="160">
                  <c:v>1371.4703254849724</c:v>
                </c:pt>
                <c:pt idx="161">
                  <c:v>1387.5081915907526</c:v>
                </c:pt>
                <c:pt idx="162">
                  <c:v>1403.5460576965331</c:v>
                </c:pt>
                <c:pt idx="163">
                  <c:v>1419.5839238023136</c:v>
                </c:pt>
                <c:pt idx="164">
                  <c:v>1435.6217899080941</c:v>
                </c:pt>
                <c:pt idx="165">
                  <c:v>1451.6596560138746</c:v>
                </c:pt>
                <c:pt idx="166">
                  <c:v>1467.6975221196549</c:v>
                </c:pt>
                <c:pt idx="167">
                  <c:v>1483.7353882254356</c:v>
                </c:pt>
                <c:pt idx="168">
                  <c:v>1499.7732543312159</c:v>
                </c:pt>
                <c:pt idx="169">
                  <c:v>1515.8111204369964</c:v>
                </c:pt>
                <c:pt idx="170">
                  <c:v>1531.8489865427769</c:v>
                </c:pt>
                <c:pt idx="171">
                  <c:v>1547.8868526485574</c:v>
                </c:pt>
                <c:pt idx="172">
                  <c:v>1563.9247187543378</c:v>
                </c:pt>
                <c:pt idx="173">
                  <c:v>1579.9625848601181</c:v>
                </c:pt>
                <c:pt idx="174">
                  <c:v>1596.0004509658988</c:v>
                </c:pt>
                <c:pt idx="175">
                  <c:v>1612.0383170716791</c:v>
                </c:pt>
                <c:pt idx="176">
                  <c:v>1628.0761831774598</c:v>
                </c:pt>
                <c:pt idx="177">
                  <c:v>1644.1140492832401</c:v>
                </c:pt>
                <c:pt idx="178">
                  <c:v>1660.1519153890206</c:v>
                </c:pt>
                <c:pt idx="179">
                  <c:v>1676.1897814948011</c:v>
                </c:pt>
                <c:pt idx="180">
                  <c:v>1692.2276476005816</c:v>
                </c:pt>
                <c:pt idx="181">
                  <c:v>1708.2655137063621</c:v>
                </c:pt>
                <c:pt idx="182">
                  <c:v>1724.3033798121423</c:v>
                </c:pt>
                <c:pt idx="183">
                  <c:v>1740.3412459179228</c:v>
                </c:pt>
                <c:pt idx="184">
                  <c:v>1756.3791120237033</c:v>
                </c:pt>
                <c:pt idx="185">
                  <c:v>1772.4169781294838</c:v>
                </c:pt>
                <c:pt idx="186">
                  <c:v>1788.4548442352643</c:v>
                </c:pt>
                <c:pt idx="187">
                  <c:v>1804.4927103410448</c:v>
                </c:pt>
                <c:pt idx="188">
                  <c:v>1820.5305764468253</c:v>
                </c:pt>
                <c:pt idx="189">
                  <c:v>1836.5684425526058</c:v>
                </c:pt>
                <c:pt idx="190">
                  <c:v>1852.6063086583861</c:v>
                </c:pt>
                <c:pt idx="191">
                  <c:v>1868.6441747641666</c:v>
                </c:pt>
                <c:pt idx="192">
                  <c:v>1884.6820408699471</c:v>
                </c:pt>
                <c:pt idx="193">
                  <c:v>1900.7199069757276</c:v>
                </c:pt>
                <c:pt idx="194">
                  <c:v>1916.757773081508</c:v>
                </c:pt>
                <c:pt idx="195">
                  <c:v>1932.7956391872885</c:v>
                </c:pt>
                <c:pt idx="196">
                  <c:v>1948.833505293069</c:v>
                </c:pt>
                <c:pt idx="197">
                  <c:v>1964.8713713988495</c:v>
                </c:pt>
                <c:pt idx="198">
                  <c:v>1980.9092375046298</c:v>
                </c:pt>
                <c:pt idx="199">
                  <c:v>1996.9471036104103</c:v>
                </c:pt>
                <c:pt idx="200">
                  <c:v>2012.9849697161908</c:v>
                </c:pt>
                <c:pt idx="201">
                  <c:v>2029.0228358219713</c:v>
                </c:pt>
                <c:pt idx="202">
                  <c:v>2045.0607019277518</c:v>
                </c:pt>
                <c:pt idx="203">
                  <c:v>2061.0985680335325</c:v>
                </c:pt>
                <c:pt idx="204">
                  <c:v>2077.1364341393128</c:v>
                </c:pt>
                <c:pt idx="205">
                  <c:v>2093.174300245093</c:v>
                </c:pt>
                <c:pt idx="206">
                  <c:v>2109.2121663508733</c:v>
                </c:pt>
                <c:pt idx="207">
                  <c:v>2125.250032456654</c:v>
                </c:pt>
                <c:pt idx="208">
                  <c:v>2141.2878985624347</c:v>
                </c:pt>
                <c:pt idx="209">
                  <c:v>2157.325764668215</c:v>
                </c:pt>
                <c:pt idx="210">
                  <c:v>2173.3636307739953</c:v>
                </c:pt>
                <c:pt idx="211">
                  <c:v>2189.401496879776</c:v>
                </c:pt>
                <c:pt idx="212">
                  <c:v>2205.4393629855567</c:v>
                </c:pt>
                <c:pt idx="213">
                  <c:v>2221.477229091337</c:v>
                </c:pt>
                <c:pt idx="214">
                  <c:v>2237.5150951971173</c:v>
                </c:pt>
                <c:pt idx="215">
                  <c:v>2253.5529613028975</c:v>
                </c:pt>
                <c:pt idx="216">
                  <c:v>2269.5908274086783</c:v>
                </c:pt>
                <c:pt idx="217">
                  <c:v>2285.628693514459</c:v>
                </c:pt>
                <c:pt idx="218">
                  <c:v>2301.6665596202392</c:v>
                </c:pt>
                <c:pt idx="219">
                  <c:v>2317.7044257260195</c:v>
                </c:pt>
                <c:pt idx="220">
                  <c:v>2333.7422918318002</c:v>
                </c:pt>
                <c:pt idx="221">
                  <c:v>2349.7801579375805</c:v>
                </c:pt>
                <c:pt idx="222">
                  <c:v>2365.8180240433612</c:v>
                </c:pt>
                <c:pt idx="223">
                  <c:v>2381.8558901491415</c:v>
                </c:pt>
                <c:pt idx="224">
                  <c:v>2397.8937562549218</c:v>
                </c:pt>
                <c:pt idx="225">
                  <c:v>2413.9316223607025</c:v>
                </c:pt>
                <c:pt idx="226">
                  <c:v>2429.9694884664832</c:v>
                </c:pt>
                <c:pt idx="227">
                  <c:v>2446.0073545722635</c:v>
                </c:pt>
                <c:pt idx="228">
                  <c:v>2462.0452206780437</c:v>
                </c:pt>
                <c:pt idx="229">
                  <c:v>2478.083086783824</c:v>
                </c:pt>
                <c:pt idx="230">
                  <c:v>2494.1209528896047</c:v>
                </c:pt>
                <c:pt idx="231">
                  <c:v>2510.1588189953854</c:v>
                </c:pt>
                <c:pt idx="232">
                  <c:v>2526.1966851011657</c:v>
                </c:pt>
                <c:pt idx="233">
                  <c:v>2542.234551206946</c:v>
                </c:pt>
                <c:pt idx="234">
                  <c:v>2558.2724173127267</c:v>
                </c:pt>
                <c:pt idx="235">
                  <c:v>2574.3102834185074</c:v>
                </c:pt>
                <c:pt idx="236">
                  <c:v>2590.3481495242877</c:v>
                </c:pt>
                <c:pt idx="237">
                  <c:v>2606.386015630068</c:v>
                </c:pt>
                <c:pt idx="238">
                  <c:v>2622.4238817358482</c:v>
                </c:pt>
                <c:pt idx="239">
                  <c:v>2638.4617478416289</c:v>
                </c:pt>
                <c:pt idx="240">
                  <c:v>2654.4996139474097</c:v>
                </c:pt>
                <c:pt idx="241">
                  <c:v>2670.5374800531899</c:v>
                </c:pt>
                <c:pt idx="242">
                  <c:v>2686.5753461589702</c:v>
                </c:pt>
                <c:pt idx="243">
                  <c:v>2702.6132122647509</c:v>
                </c:pt>
                <c:pt idx="244">
                  <c:v>2718.6510783705312</c:v>
                </c:pt>
                <c:pt idx="245">
                  <c:v>2734.6889444763119</c:v>
                </c:pt>
                <c:pt idx="246">
                  <c:v>2750.7268105820922</c:v>
                </c:pt>
                <c:pt idx="247">
                  <c:v>2766.7646766878725</c:v>
                </c:pt>
                <c:pt idx="248">
                  <c:v>2782.8025427936532</c:v>
                </c:pt>
                <c:pt idx="249">
                  <c:v>2798.8404088994334</c:v>
                </c:pt>
                <c:pt idx="250">
                  <c:v>2814.8782750052142</c:v>
                </c:pt>
                <c:pt idx="251">
                  <c:v>2830.9161411109944</c:v>
                </c:pt>
                <c:pt idx="252">
                  <c:v>2846.9540072167752</c:v>
                </c:pt>
                <c:pt idx="253">
                  <c:v>2862.9918733225554</c:v>
                </c:pt>
                <c:pt idx="254">
                  <c:v>2879.0297394283361</c:v>
                </c:pt>
                <c:pt idx="255">
                  <c:v>2895.0676055341164</c:v>
                </c:pt>
                <c:pt idx="256">
                  <c:v>2911.1054716398967</c:v>
                </c:pt>
                <c:pt idx="257">
                  <c:v>2927.1433377456774</c:v>
                </c:pt>
                <c:pt idx="258">
                  <c:v>2941.1764705882351</c:v>
                </c:pt>
                <c:pt idx="259">
                  <c:v>2949.6428420243365</c:v>
                </c:pt>
                <c:pt idx="260">
                  <c:v>2960.2258063194631</c:v>
                </c:pt>
                <c:pt idx="261">
                  <c:v>2970.8087706145902</c:v>
                </c:pt>
                <c:pt idx="262">
                  <c:v>2981.3917349097169</c:v>
                </c:pt>
                <c:pt idx="263">
                  <c:v>2991.9746992048435</c:v>
                </c:pt>
                <c:pt idx="264">
                  <c:v>3002.5576634999707</c:v>
                </c:pt>
                <c:pt idx="265">
                  <c:v>3013.1406277950973</c:v>
                </c:pt>
                <c:pt idx="266">
                  <c:v>3023.723592090224</c:v>
                </c:pt>
                <c:pt idx="267">
                  <c:v>3034.3065563853506</c:v>
                </c:pt>
                <c:pt idx="268">
                  <c:v>3044.8895206804777</c:v>
                </c:pt>
                <c:pt idx="269">
                  <c:v>3055.4724849756044</c:v>
                </c:pt>
                <c:pt idx="270">
                  <c:v>3066.0554492707311</c:v>
                </c:pt>
                <c:pt idx="271">
                  <c:v>3076.6384135658582</c:v>
                </c:pt>
                <c:pt idx="272">
                  <c:v>3087.2213778609848</c:v>
                </c:pt>
                <c:pt idx="273">
                  <c:v>3097.8043421561115</c:v>
                </c:pt>
                <c:pt idx="274">
                  <c:v>3108.3873064512381</c:v>
                </c:pt>
                <c:pt idx="275">
                  <c:v>3118.9702707463653</c:v>
                </c:pt>
                <c:pt idx="276">
                  <c:v>3129.5532350414919</c:v>
                </c:pt>
                <c:pt idx="277">
                  <c:v>3140.1361993366186</c:v>
                </c:pt>
                <c:pt idx="278">
                  <c:v>3150.7191636317457</c:v>
                </c:pt>
                <c:pt idx="279">
                  <c:v>3161.3021279268723</c:v>
                </c:pt>
                <c:pt idx="280">
                  <c:v>3171.885092221999</c:v>
                </c:pt>
                <c:pt idx="281">
                  <c:v>3182.4680565171257</c:v>
                </c:pt>
                <c:pt idx="282">
                  <c:v>3193.0510208122528</c:v>
                </c:pt>
                <c:pt idx="283">
                  <c:v>3203.6339851073794</c:v>
                </c:pt>
                <c:pt idx="284">
                  <c:v>3214.2169494025061</c:v>
                </c:pt>
                <c:pt idx="285">
                  <c:v>3224.7999136976332</c:v>
                </c:pt>
                <c:pt idx="286">
                  <c:v>3235.3828779927599</c:v>
                </c:pt>
                <c:pt idx="287">
                  <c:v>3245.9658422878865</c:v>
                </c:pt>
                <c:pt idx="288">
                  <c:v>3256.5488065830132</c:v>
                </c:pt>
                <c:pt idx="289">
                  <c:v>3267.1317708781403</c:v>
                </c:pt>
                <c:pt idx="290">
                  <c:v>3277.7147351732669</c:v>
                </c:pt>
                <c:pt idx="291">
                  <c:v>3288.2976994683936</c:v>
                </c:pt>
                <c:pt idx="292">
                  <c:v>3298.8806637635207</c:v>
                </c:pt>
                <c:pt idx="293">
                  <c:v>3309.4636280586474</c:v>
                </c:pt>
                <c:pt idx="294">
                  <c:v>3320.046592353774</c:v>
                </c:pt>
                <c:pt idx="295">
                  <c:v>3330.6295566489007</c:v>
                </c:pt>
                <c:pt idx="296">
                  <c:v>3341.2125209440278</c:v>
                </c:pt>
                <c:pt idx="297">
                  <c:v>3351.7954852391545</c:v>
                </c:pt>
                <c:pt idx="298">
                  <c:v>3362.3784495342811</c:v>
                </c:pt>
                <c:pt idx="299">
                  <c:v>3372.9614138294078</c:v>
                </c:pt>
                <c:pt idx="300">
                  <c:v>3383.5443781245349</c:v>
                </c:pt>
                <c:pt idx="301">
                  <c:v>3394.1273424196615</c:v>
                </c:pt>
                <c:pt idx="302">
                  <c:v>3404.7103067147882</c:v>
                </c:pt>
                <c:pt idx="303">
                  <c:v>3415.2932710099153</c:v>
                </c:pt>
                <c:pt idx="304">
                  <c:v>3425.876235305042</c:v>
                </c:pt>
                <c:pt idx="305">
                  <c:v>3436.4591996001686</c:v>
                </c:pt>
                <c:pt idx="306">
                  <c:v>3447.0421638952953</c:v>
                </c:pt>
                <c:pt idx="307">
                  <c:v>3457.6251281904224</c:v>
                </c:pt>
                <c:pt idx="308">
                  <c:v>3468.2080924855491</c:v>
                </c:pt>
              </c:numCache>
            </c:numRef>
          </c:xVal>
          <c:yVal>
            <c:numRef>
              <c:f>'Full Profile'!$D$4:$D$312</c:f>
              <c:numCache>
                <c:formatCode>#,##0.00</c:formatCode>
                <c:ptCount val="309"/>
                <c:pt idx="0">
                  <c:v>0.75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5.25</c:v>
                </c:pt>
                <c:pt idx="5">
                  <c:v>8.75</c:v>
                </c:pt>
                <c:pt idx="6">
                  <c:v>13.25</c:v>
                </c:pt>
                <c:pt idx="7">
                  <c:v>16.75</c:v>
                </c:pt>
                <c:pt idx="8">
                  <c:v>19.75</c:v>
                </c:pt>
                <c:pt idx="9">
                  <c:v>22.5</c:v>
                </c:pt>
                <c:pt idx="10">
                  <c:v>27</c:v>
                </c:pt>
                <c:pt idx="11">
                  <c:v>33</c:v>
                </c:pt>
                <c:pt idx="12">
                  <c:v>42</c:v>
                </c:pt>
                <c:pt idx="13">
                  <c:v>54.25</c:v>
                </c:pt>
                <c:pt idx="14">
                  <c:v>65.5</c:v>
                </c:pt>
                <c:pt idx="15">
                  <c:v>75.5</c:v>
                </c:pt>
                <c:pt idx="16">
                  <c:v>85.5</c:v>
                </c:pt>
                <c:pt idx="17">
                  <c:v>95.5</c:v>
                </c:pt>
                <c:pt idx="18">
                  <c:v>105.5</c:v>
                </c:pt>
                <c:pt idx="19">
                  <c:v>115.5</c:v>
                </c:pt>
                <c:pt idx="20">
                  <c:v>125.5</c:v>
                </c:pt>
                <c:pt idx="21">
                  <c:v>135.5</c:v>
                </c:pt>
                <c:pt idx="22">
                  <c:v>145.5</c:v>
                </c:pt>
                <c:pt idx="23">
                  <c:v>155.5</c:v>
                </c:pt>
                <c:pt idx="24">
                  <c:v>165.5</c:v>
                </c:pt>
                <c:pt idx="25">
                  <c:v>175.5</c:v>
                </c:pt>
                <c:pt idx="26">
                  <c:v>185.5</c:v>
                </c:pt>
                <c:pt idx="27">
                  <c:v>195.5</c:v>
                </c:pt>
                <c:pt idx="28">
                  <c:v>205.5</c:v>
                </c:pt>
                <c:pt idx="29">
                  <c:v>215.5</c:v>
                </c:pt>
                <c:pt idx="30">
                  <c:v>225.5</c:v>
                </c:pt>
                <c:pt idx="31">
                  <c:v>235.25</c:v>
                </c:pt>
                <c:pt idx="32">
                  <c:v>245</c:v>
                </c:pt>
                <c:pt idx="33">
                  <c:v>255</c:v>
                </c:pt>
                <c:pt idx="34">
                  <c:v>265</c:v>
                </c:pt>
                <c:pt idx="35">
                  <c:v>275</c:v>
                </c:pt>
                <c:pt idx="36">
                  <c:v>285</c:v>
                </c:pt>
                <c:pt idx="37">
                  <c:v>295</c:v>
                </c:pt>
                <c:pt idx="38">
                  <c:v>305</c:v>
                </c:pt>
                <c:pt idx="39">
                  <c:v>315</c:v>
                </c:pt>
                <c:pt idx="40">
                  <c:v>325</c:v>
                </c:pt>
                <c:pt idx="41">
                  <c:v>335</c:v>
                </c:pt>
                <c:pt idx="42">
                  <c:v>345</c:v>
                </c:pt>
                <c:pt idx="43">
                  <c:v>355</c:v>
                </c:pt>
                <c:pt idx="44">
                  <c:v>365</c:v>
                </c:pt>
                <c:pt idx="45">
                  <c:v>375</c:v>
                </c:pt>
                <c:pt idx="46">
                  <c:v>385</c:v>
                </c:pt>
                <c:pt idx="47">
                  <c:v>395</c:v>
                </c:pt>
                <c:pt idx="48">
                  <c:v>405</c:v>
                </c:pt>
                <c:pt idx="49">
                  <c:v>415</c:v>
                </c:pt>
                <c:pt idx="50">
                  <c:v>425</c:v>
                </c:pt>
                <c:pt idx="51">
                  <c:v>435</c:v>
                </c:pt>
                <c:pt idx="52">
                  <c:v>445</c:v>
                </c:pt>
                <c:pt idx="53">
                  <c:v>455</c:v>
                </c:pt>
                <c:pt idx="54">
                  <c:v>465</c:v>
                </c:pt>
                <c:pt idx="55">
                  <c:v>475</c:v>
                </c:pt>
                <c:pt idx="56">
                  <c:v>485</c:v>
                </c:pt>
                <c:pt idx="57">
                  <c:v>495</c:v>
                </c:pt>
                <c:pt idx="58">
                  <c:v>505</c:v>
                </c:pt>
                <c:pt idx="59">
                  <c:v>515</c:v>
                </c:pt>
                <c:pt idx="60">
                  <c:v>525</c:v>
                </c:pt>
                <c:pt idx="61">
                  <c:v>535</c:v>
                </c:pt>
                <c:pt idx="62">
                  <c:v>545</c:v>
                </c:pt>
                <c:pt idx="63">
                  <c:v>555</c:v>
                </c:pt>
                <c:pt idx="64">
                  <c:v>565</c:v>
                </c:pt>
                <c:pt idx="65">
                  <c:v>575</c:v>
                </c:pt>
                <c:pt idx="66">
                  <c:v>585</c:v>
                </c:pt>
                <c:pt idx="67">
                  <c:v>595</c:v>
                </c:pt>
                <c:pt idx="68">
                  <c:v>605</c:v>
                </c:pt>
                <c:pt idx="69">
                  <c:v>615</c:v>
                </c:pt>
                <c:pt idx="70">
                  <c:v>625</c:v>
                </c:pt>
                <c:pt idx="71">
                  <c:v>635</c:v>
                </c:pt>
                <c:pt idx="72">
                  <c:v>645</c:v>
                </c:pt>
                <c:pt idx="73">
                  <c:v>655</c:v>
                </c:pt>
                <c:pt idx="74">
                  <c:v>665</c:v>
                </c:pt>
                <c:pt idx="75">
                  <c:v>675</c:v>
                </c:pt>
                <c:pt idx="76">
                  <c:v>685</c:v>
                </c:pt>
                <c:pt idx="77">
                  <c:v>695</c:v>
                </c:pt>
                <c:pt idx="78">
                  <c:v>705</c:v>
                </c:pt>
                <c:pt idx="79">
                  <c:v>715</c:v>
                </c:pt>
                <c:pt idx="80">
                  <c:v>725</c:v>
                </c:pt>
                <c:pt idx="81">
                  <c:v>735</c:v>
                </c:pt>
                <c:pt idx="82">
                  <c:v>745</c:v>
                </c:pt>
                <c:pt idx="83">
                  <c:v>755</c:v>
                </c:pt>
                <c:pt idx="84">
                  <c:v>765</c:v>
                </c:pt>
                <c:pt idx="85">
                  <c:v>775</c:v>
                </c:pt>
                <c:pt idx="86">
                  <c:v>785</c:v>
                </c:pt>
                <c:pt idx="87">
                  <c:v>795</c:v>
                </c:pt>
                <c:pt idx="88">
                  <c:v>805</c:v>
                </c:pt>
                <c:pt idx="89">
                  <c:v>815</c:v>
                </c:pt>
                <c:pt idx="90">
                  <c:v>825</c:v>
                </c:pt>
                <c:pt idx="91">
                  <c:v>835</c:v>
                </c:pt>
                <c:pt idx="92">
                  <c:v>845</c:v>
                </c:pt>
                <c:pt idx="93">
                  <c:v>855</c:v>
                </c:pt>
                <c:pt idx="94">
                  <c:v>865</c:v>
                </c:pt>
                <c:pt idx="95">
                  <c:v>875</c:v>
                </c:pt>
                <c:pt idx="96">
                  <c:v>885</c:v>
                </c:pt>
                <c:pt idx="97">
                  <c:v>895</c:v>
                </c:pt>
                <c:pt idx="98">
                  <c:v>905</c:v>
                </c:pt>
                <c:pt idx="99">
                  <c:v>915</c:v>
                </c:pt>
                <c:pt idx="100">
                  <c:v>925</c:v>
                </c:pt>
                <c:pt idx="101">
                  <c:v>935</c:v>
                </c:pt>
                <c:pt idx="102">
                  <c:v>945</c:v>
                </c:pt>
                <c:pt idx="103">
                  <c:v>955</c:v>
                </c:pt>
                <c:pt idx="104">
                  <c:v>965</c:v>
                </c:pt>
                <c:pt idx="105">
                  <c:v>975</c:v>
                </c:pt>
                <c:pt idx="106">
                  <c:v>985</c:v>
                </c:pt>
                <c:pt idx="107">
                  <c:v>995</c:v>
                </c:pt>
                <c:pt idx="108">
                  <c:v>1005</c:v>
                </c:pt>
                <c:pt idx="109">
                  <c:v>1020</c:v>
                </c:pt>
                <c:pt idx="110">
                  <c:v>1040</c:v>
                </c:pt>
                <c:pt idx="111">
                  <c:v>1060</c:v>
                </c:pt>
                <c:pt idx="112">
                  <c:v>1080</c:v>
                </c:pt>
                <c:pt idx="113">
                  <c:v>1100</c:v>
                </c:pt>
                <c:pt idx="114">
                  <c:v>1120</c:v>
                </c:pt>
                <c:pt idx="115">
                  <c:v>1140</c:v>
                </c:pt>
                <c:pt idx="116">
                  <c:v>1160</c:v>
                </c:pt>
                <c:pt idx="117">
                  <c:v>1180</c:v>
                </c:pt>
                <c:pt idx="118">
                  <c:v>1200</c:v>
                </c:pt>
                <c:pt idx="119">
                  <c:v>1220</c:v>
                </c:pt>
                <c:pt idx="120">
                  <c:v>1240</c:v>
                </c:pt>
                <c:pt idx="121">
                  <c:v>1260</c:v>
                </c:pt>
                <c:pt idx="122">
                  <c:v>1280</c:v>
                </c:pt>
                <c:pt idx="123">
                  <c:v>1300</c:v>
                </c:pt>
                <c:pt idx="124">
                  <c:v>1320</c:v>
                </c:pt>
                <c:pt idx="125">
                  <c:v>1340</c:v>
                </c:pt>
                <c:pt idx="126">
                  <c:v>1360</c:v>
                </c:pt>
                <c:pt idx="127">
                  <c:v>1380</c:v>
                </c:pt>
                <c:pt idx="128">
                  <c:v>1400</c:v>
                </c:pt>
                <c:pt idx="129">
                  <c:v>1420</c:v>
                </c:pt>
                <c:pt idx="130">
                  <c:v>1440</c:v>
                </c:pt>
                <c:pt idx="131">
                  <c:v>1460</c:v>
                </c:pt>
                <c:pt idx="132">
                  <c:v>1480</c:v>
                </c:pt>
                <c:pt idx="133">
                  <c:v>1500</c:v>
                </c:pt>
                <c:pt idx="134">
                  <c:v>1520</c:v>
                </c:pt>
                <c:pt idx="135">
                  <c:v>1540</c:v>
                </c:pt>
                <c:pt idx="136">
                  <c:v>1560</c:v>
                </c:pt>
                <c:pt idx="137">
                  <c:v>1580</c:v>
                </c:pt>
                <c:pt idx="138">
                  <c:v>1600</c:v>
                </c:pt>
                <c:pt idx="139">
                  <c:v>1620</c:v>
                </c:pt>
                <c:pt idx="140">
                  <c:v>1640</c:v>
                </c:pt>
                <c:pt idx="141">
                  <c:v>1660</c:v>
                </c:pt>
                <c:pt idx="142">
                  <c:v>1680</c:v>
                </c:pt>
                <c:pt idx="143">
                  <c:v>1700</c:v>
                </c:pt>
                <c:pt idx="144">
                  <c:v>1720</c:v>
                </c:pt>
                <c:pt idx="145">
                  <c:v>1740</c:v>
                </c:pt>
                <c:pt idx="146">
                  <c:v>1760</c:v>
                </c:pt>
                <c:pt idx="147">
                  <c:v>1780</c:v>
                </c:pt>
                <c:pt idx="148">
                  <c:v>1800</c:v>
                </c:pt>
                <c:pt idx="149">
                  <c:v>1820</c:v>
                </c:pt>
                <c:pt idx="150">
                  <c:v>1840</c:v>
                </c:pt>
                <c:pt idx="151">
                  <c:v>1860</c:v>
                </c:pt>
                <c:pt idx="152">
                  <c:v>1880</c:v>
                </c:pt>
                <c:pt idx="153">
                  <c:v>1900</c:v>
                </c:pt>
                <c:pt idx="154">
                  <c:v>1920</c:v>
                </c:pt>
                <c:pt idx="155">
                  <c:v>1940</c:v>
                </c:pt>
                <c:pt idx="156">
                  <c:v>1960</c:v>
                </c:pt>
                <c:pt idx="157">
                  <c:v>1980</c:v>
                </c:pt>
                <c:pt idx="158">
                  <c:v>2000</c:v>
                </c:pt>
                <c:pt idx="159">
                  <c:v>2030</c:v>
                </c:pt>
                <c:pt idx="160">
                  <c:v>2070</c:v>
                </c:pt>
                <c:pt idx="161">
                  <c:v>2110</c:v>
                </c:pt>
                <c:pt idx="162">
                  <c:v>2150</c:v>
                </c:pt>
                <c:pt idx="163">
                  <c:v>2190</c:v>
                </c:pt>
                <c:pt idx="164">
                  <c:v>2230</c:v>
                </c:pt>
                <c:pt idx="165">
                  <c:v>2270</c:v>
                </c:pt>
                <c:pt idx="166">
                  <c:v>2310</c:v>
                </c:pt>
                <c:pt idx="167">
                  <c:v>2350</c:v>
                </c:pt>
                <c:pt idx="168">
                  <c:v>2390</c:v>
                </c:pt>
                <c:pt idx="169">
                  <c:v>2430</c:v>
                </c:pt>
                <c:pt idx="170">
                  <c:v>2470</c:v>
                </c:pt>
                <c:pt idx="171">
                  <c:v>2510</c:v>
                </c:pt>
                <c:pt idx="172">
                  <c:v>2550</c:v>
                </c:pt>
                <c:pt idx="173">
                  <c:v>2590</c:v>
                </c:pt>
                <c:pt idx="174">
                  <c:v>2630</c:v>
                </c:pt>
                <c:pt idx="175">
                  <c:v>2670</c:v>
                </c:pt>
                <c:pt idx="176">
                  <c:v>2710</c:v>
                </c:pt>
                <c:pt idx="177">
                  <c:v>2750</c:v>
                </c:pt>
                <c:pt idx="178">
                  <c:v>2790</c:v>
                </c:pt>
                <c:pt idx="179">
                  <c:v>2830</c:v>
                </c:pt>
                <c:pt idx="180">
                  <c:v>2870</c:v>
                </c:pt>
                <c:pt idx="181">
                  <c:v>2910</c:v>
                </c:pt>
                <c:pt idx="182">
                  <c:v>2950</c:v>
                </c:pt>
                <c:pt idx="183">
                  <c:v>2990</c:v>
                </c:pt>
                <c:pt idx="184">
                  <c:v>3030</c:v>
                </c:pt>
                <c:pt idx="185">
                  <c:v>3070</c:v>
                </c:pt>
                <c:pt idx="186">
                  <c:v>3110</c:v>
                </c:pt>
                <c:pt idx="187">
                  <c:v>3150</c:v>
                </c:pt>
                <c:pt idx="188">
                  <c:v>3190</c:v>
                </c:pt>
                <c:pt idx="189">
                  <c:v>3230</c:v>
                </c:pt>
                <c:pt idx="190">
                  <c:v>3270</c:v>
                </c:pt>
                <c:pt idx="191">
                  <c:v>3310</c:v>
                </c:pt>
                <c:pt idx="192">
                  <c:v>3350</c:v>
                </c:pt>
                <c:pt idx="193">
                  <c:v>3390</c:v>
                </c:pt>
                <c:pt idx="194">
                  <c:v>3430</c:v>
                </c:pt>
                <c:pt idx="195">
                  <c:v>3470</c:v>
                </c:pt>
                <c:pt idx="196">
                  <c:v>3510</c:v>
                </c:pt>
                <c:pt idx="197">
                  <c:v>3550</c:v>
                </c:pt>
                <c:pt idx="198">
                  <c:v>3590</c:v>
                </c:pt>
                <c:pt idx="199">
                  <c:v>3630</c:v>
                </c:pt>
                <c:pt idx="200">
                  <c:v>3670</c:v>
                </c:pt>
                <c:pt idx="201">
                  <c:v>3710</c:v>
                </c:pt>
                <c:pt idx="202">
                  <c:v>3750</c:v>
                </c:pt>
                <c:pt idx="203">
                  <c:v>3790</c:v>
                </c:pt>
                <c:pt idx="204">
                  <c:v>3830</c:v>
                </c:pt>
                <c:pt idx="205">
                  <c:v>3870</c:v>
                </c:pt>
                <c:pt idx="206">
                  <c:v>3910</c:v>
                </c:pt>
                <c:pt idx="207">
                  <c:v>3950</c:v>
                </c:pt>
                <c:pt idx="208">
                  <c:v>3990</c:v>
                </c:pt>
                <c:pt idx="209">
                  <c:v>4030</c:v>
                </c:pt>
                <c:pt idx="210">
                  <c:v>4070</c:v>
                </c:pt>
                <c:pt idx="211">
                  <c:v>4110</c:v>
                </c:pt>
                <c:pt idx="212">
                  <c:v>4150</c:v>
                </c:pt>
                <c:pt idx="213">
                  <c:v>4190</c:v>
                </c:pt>
                <c:pt idx="214">
                  <c:v>4230</c:v>
                </c:pt>
                <c:pt idx="215">
                  <c:v>4270</c:v>
                </c:pt>
                <c:pt idx="216">
                  <c:v>4310</c:v>
                </c:pt>
                <c:pt idx="217">
                  <c:v>4350</c:v>
                </c:pt>
                <c:pt idx="218">
                  <c:v>4390</c:v>
                </c:pt>
                <c:pt idx="219">
                  <c:v>4430</c:v>
                </c:pt>
                <c:pt idx="220">
                  <c:v>4470</c:v>
                </c:pt>
                <c:pt idx="221">
                  <c:v>4510</c:v>
                </c:pt>
                <c:pt idx="222">
                  <c:v>4550</c:v>
                </c:pt>
                <c:pt idx="223">
                  <c:v>4590</c:v>
                </c:pt>
                <c:pt idx="224">
                  <c:v>4630</c:v>
                </c:pt>
                <c:pt idx="225">
                  <c:v>4670</c:v>
                </c:pt>
                <c:pt idx="226">
                  <c:v>4710</c:v>
                </c:pt>
                <c:pt idx="227">
                  <c:v>4750</c:v>
                </c:pt>
                <c:pt idx="228">
                  <c:v>4790</c:v>
                </c:pt>
                <c:pt idx="229">
                  <c:v>4830</c:v>
                </c:pt>
                <c:pt idx="230">
                  <c:v>4870</c:v>
                </c:pt>
                <c:pt idx="231">
                  <c:v>4910</c:v>
                </c:pt>
                <c:pt idx="232">
                  <c:v>4950</c:v>
                </c:pt>
                <c:pt idx="233">
                  <c:v>4990</c:v>
                </c:pt>
                <c:pt idx="234">
                  <c:v>5030</c:v>
                </c:pt>
                <c:pt idx="235">
                  <c:v>5070</c:v>
                </c:pt>
                <c:pt idx="236">
                  <c:v>5110</c:v>
                </c:pt>
                <c:pt idx="237">
                  <c:v>5150</c:v>
                </c:pt>
                <c:pt idx="238">
                  <c:v>5190</c:v>
                </c:pt>
                <c:pt idx="239">
                  <c:v>5230</c:v>
                </c:pt>
                <c:pt idx="240">
                  <c:v>5270</c:v>
                </c:pt>
                <c:pt idx="241">
                  <c:v>5310</c:v>
                </c:pt>
                <c:pt idx="242">
                  <c:v>5350</c:v>
                </c:pt>
                <c:pt idx="243">
                  <c:v>5390</c:v>
                </c:pt>
                <c:pt idx="244">
                  <c:v>5430</c:v>
                </c:pt>
                <c:pt idx="245">
                  <c:v>5470</c:v>
                </c:pt>
                <c:pt idx="246">
                  <c:v>5510</c:v>
                </c:pt>
                <c:pt idx="247">
                  <c:v>5550</c:v>
                </c:pt>
                <c:pt idx="248">
                  <c:v>5590</c:v>
                </c:pt>
                <c:pt idx="249">
                  <c:v>5630</c:v>
                </c:pt>
                <c:pt idx="250">
                  <c:v>5670</c:v>
                </c:pt>
                <c:pt idx="251">
                  <c:v>5710</c:v>
                </c:pt>
                <c:pt idx="252">
                  <c:v>5750</c:v>
                </c:pt>
                <c:pt idx="253">
                  <c:v>5790</c:v>
                </c:pt>
                <c:pt idx="254">
                  <c:v>5830</c:v>
                </c:pt>
                <c:pt idx="255">
                  <c:v>5870</c:v>
                </c:pt>
                <c:pt idx="256">
                  <c:v>5910</c:v>
                </c:pt>
                <c:pt idx="257">
                  <c:v>5950</c:v>
                </c:pt>
                <c:pt idx="258">
                  <c:v>5985</c:v>
                </c:pt>
                <c:pt idx="259">
                  <c:v>6025</c:v>
                </c:pt>
                <c:pt idx="260">
                  <c:v>6075</c:v>
                </c:pt>
                <c:pt idx="261">
                  <c:v>6125</c:v>
                </c:pt>
                <c:pt idx="262">
                  <c:v>6175</c:v>
                </c:pt>
                <c:pt idx="263">
                  <c:v>6225</c:v>
                </c:pt>
                <c:pt idx="264">
                  <c:v>6275</c:v>
                </c:pt>
                <c:pt idx="265">
                  <c:v>6325</c:v>
                </c:pt>
                <c:pt idx="266">
                  <c:v>6375</c:v>
                </c:pt>
                <c:pt idx="267">
                  <c:v>6425</c:v>
                </c:pt>
                <c:pt idx="268">
                  <c:v>6475</c:v>
                </c:pt>
                <c:pt idx="269">
                  <c:v>6525</c:v>
                </c:pt>
                <c:pt idx="270">
                  <c:v>6575</c:v>
                </c:pt>
                <c:pt idx="271">
                  <c:v>6625</c:v>
                </c:pt>
                <c:pt idx="272">
                  <c:v>6675</c:v>
                </c:pt>
                <c:pt idx="273">
                  <c:v>6725</c:v>
                </c:pt>
                <c:pt idx="274">
                  <c:v>6775</c:v>
                </c:pt>
                <c:pt idx="275">
                  <c:v>6825</c:v>
                </c:pt>
                <c:pt idx="276">
                  <c:v>6875</c:v>
                </c:pt>
                <c:pt idx="277">
                  <c:v>6925</c:v>
                </c:pt>
                <c:pt idx="278">
                  <c:v>6975</c:v>
                </c:pt>
                <c:pt idx="279">
                  <c:v>7025</c:v>
                </c:pt>
                <c:pt idx="280">
                  <c:v>7075</c:v>
                </c:pt>
                <c:pt idx="281">
                  <c:v>7125</c:v>
                </c:pt>
                <c:pt idx="282">
                  <c:v>7175</c:v>
                </c:pt>
                <c:pt idx="283">
                  <c:v>7225</c:v>
                </c:pt>
                <c:pt idx="284">
                  <c:v>7275</c:v>
                </c:pt>
                <c:pt idx="285">
                  <c:v>7325</c:v>
                </c:pt>
                <c:pt idx="286">
                  <c:v>7375</c:v>
                </c:pt>
                <c:pt idx="287">
                  <c:v>7425</c:v>
                </c:pt>
                <c:pt idx="288">
                  <c:v>7475</c:v>
                </c:pt>
                <c:pt idx="289">
                  <c:v>7525</c:v>
                </c:pt>
                <c:pt idx="290">
                  <c:v>7575</c:v>
                </c:pt>
                <c:pt idx="291">
                  <c:v>7625</c:v>
                </c:pt>
                <c:pt idx="292">
                  <c:v>7675</c:v>
                </c:pt>
                <c:pt idx="293">
                  <c:v>7725</c:v>
                </c:pt>
                <c:pt idx="294">
                  <c:v>7775</c:v>
                </c:pt>
                <c:pt idx="295">
                  <c:v>7825</c:v>
                </c:pt>
                <c:pt idx="296">
                  <c:v>7875</c:v>
                </c:pt>
                <c:pt idx="297">
                  <c:v>7925</c:v>
                </c:pt>
                <c:pt idx="298">
                  <c:v>7975</c:v>
                </c:pt>
                <c:pt idx="299">
                  <c:v>8025</c:v>
                </c:pt>
                <c:pt idx="300">
                  <c:v>8075</c:v>
                </c:pt>
                <c:pt idx="301">
                  <c:v>8125</c:v>
                </c:pt>
                <c:pt idx="302">
                  <c:v>8175</c:v>
                </c:pt>
                <c:pt idx="303">
                  <c:v>8225</c:v>
                </c:pt>
                <c:pt idx="304">
                  <c:v>8275</c:v>
                </c:pt>
                <c:pt idx="305">
                  <c:v>8325</c:v>
                </c:pt>
                <c:pt idx="306">
                  <c:v>8375</c:v>
                </c:pt>
                <c:pt idx="307">
                  <c:v>8425</c:v>
                </c:pt>
                <c:pt idx="308">
                  <c:v>8475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3E-7F42-ACD9-BD34B0085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9808"/>
        <c:axId val="605202048"/>
      </c:scatterChart>
      <c:valAx>
        <c:axId val="605199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Vs (m/s)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5202048"/>
        <c:crosses val="autoZero"/>
        <c:crossBetween val="midCat"/>
      </c:valAx>
      <c:valAx>
        <c:axId val="60520204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Depth (m)</a:t>
                </a:r>
              </a:p>
            </c:rich>
          </c:tx>
          <c:layout>
            <c:manualLayout>
              <c:xMode val="edge"/>
              <c:yMode val="edge"/>
              <c:x val="1.239157372986369E-2"/>
              <c:y val="0.493173686622505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51998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Vs Profile</c:v>
          </c:tx>
          <c:spPr>
            <a:ln w="1905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xVal>
            <c:numRef>
              <c:f>'Full Profile'!$E$4:$E$312</c:f>
              <c:numCache>
                <c:formatCode>#,##0.00</c:formatCode>
                <c:ptCount val="309"/>
                <c:pt idx="0">
                  <c:v>147.601</c:v>
                </c:pt>
                <c:pt idx="1">
                  <c:v>147.601</c:v>
                </c:pt>
                <c:pt idx="2">
                  <c:v>147.601</c:v>
                </c:pt>
                <c:pt idx="3">
                  <c:v>147.601</c:v>
                </c:pt>
                <c:pt idx="4">
                  <c:v>147.601</c:v>
                </c:pt>
                <c:pt idx="5">
                  <c:v>163.7498181818182</c:v>
                </c:pt>
                <c:pt idx="6">
                  <c:v>194.77128571428571</c:v>
                </c:pt>
                <c:pt idx="7">
                  <c:v>254.20914285714281</c:v>
                </c:pt>
                <c:pt idx="8">
                  <c:v>253.2722</c:v>
                </c:pt>
                <c:pt idx="9">
                  <c:v>280.43566666666669</c:v>
                </c:pt>
                <c:pt idx="10">
                  <c:v>256.10758333333342</c:v>
                </c:pt>
                <c:pt idx="11">
                  <c:v>252.1049166666667</c:v>
                </c:pt>
                <c:pt idx="12">
                  <c:v>229.08674999999999</c:v>
                </c:pt>
                <c:pt idx="13">
                  <c:v>284.23284000000001</c:v>
                </c:pt>
                <c:pt idx="14">
                  <c:v>336.60216666666668</c:v>
                </c:pt>
                <c:pt idx="15">
                  <c:v>345.52519999999998</c:v>
                </c:pt>
                <c:pt idx="16">
                  <c:v>330.69930000000011</c:v>
                </c:pt>
                <c:pt idx="17">
                  <c:v>401.21390000000002</c:v>
                </c:pt>
                <c:pt idx="18">
                  <c:v>416.64722222222218</c:v>
                </c:pt>
                <c:pt idx="19">
                  <c:v>390.74349999999998</c:v>
                </c:pt>
                <c:pt idx="20">
                  <c:v>447.57044444444438</c:v>
                </c:pt>
                <c:pt idx="21">
                  <c:v>408.6927</c:v>
                </c:pt>
                <c:pt idx="22">
                  <c:v>392.07549999999998</c:v>
                </c:pt>
                <c:pt idx="23">
                  <c:v>543.87430000000006</c:v>
                </c:pt>
                <c:pt idx="24">
                  <c:v>481.63619999999997</c:v>
                </c:pt>
                <c:pt idx="25">
                  <c:v>535.28859999999997</c:v>
                </c:pt>
                <c:pt idx="26">
                  <c:v>572.80110000000002</c:v>
                </c:pt>
                <c:pt idx="27">
                  <c:v>479.34545454545457</c:v>
                </c:pt>
                <c:pt idx="28">
                  <c:v>471.125</c:v>
                </c:pt>
                <c:pt idx="29">
                  <c:v>568.93466666666654</c:v>
                </c:pt>
                <c:pt idx="30">
                  <c:v>685.59800000000018</c:v>
                </c:pt>
                <c:pt idx="31">
                  <c:v>635.83345454545452</c:v>
                </c:pt>
                <c:pt idx="32">
                  <c:v>639.74268440873846</c:v>
                </c:pt>
                <c:pt idx="33">
                  <c:v>643.75215093518364</c:v>
                </c:pt>
                <c:pt idx="34">
                  <c:v>647.7616174616287</c:v>
                </c:pt>
                <c:pt idx="35">
                  <c:v>651.77108398807388</c:v>
                </c:pt>
                <c:pt idx="36">
                  <c:v>655.78055051451895</c:v>
                </c:pt>
                <c:pt idx="37">
                  <c:v>659.79001704096413</c:v>
                </c:pt>
                <c:pt idx="38">
                  <c:v>663.7994835674092</c:v>
                </c:pt>
                <c:pt idx="39">
                  <c:v>667.80895009385426</c:v>
                </c:pt>
                <c:pt idx="40">
                  <c:v>671.81841662029944</c:v>
                </c:pt>
                <c:pt idx="41">
                  <c:v>675.82788314674451</c:v>
                </c:pt>
                <c:pt idx="42">
                  <c:v>679.83734967318969</c:v>
                </c:pt>
                <c:pt idx="43">
                  <c:v>683.84681619963476</c:v>
                </c:pt>
                <c:pt idx="44">
                  <c:v>687.85628272607994</c:v>
                </c:pt>
                <c:pt idx="45">
                  <c:v>691.86574925252501</c:v>
                </c:pt>
                <c:pt idx="46">
                  <c:v>695.87521577897019</c:v>
                </c:pt>
                <c:pt idx="47">
                  <c:v>699.88468230541525</c:v>
                </c:pt>
                <c:pt idx="48">
                  <c:v>703.89414883186032</c:v>
                </c:pt>
                <c:pt idx="49">
                  <c:v>707.9036153583055</c:v>
                </c:pt>
                <c:pt idx="50">
                  <c:v>711.91308188475057</c:v>
                </c:pt>
                <c:pt idx="51">
                  <c:v>715.92254841119575</c:v>
                </c:pt>
                <c:pt idx="52">
                  <c:v>719.93201493764082</c:v>
                </c:pt>
                <c:pt idx="53">
                  <c:v>723.94148146408588</c:v>
                </c:pt>
                <c:pt idx="54">
                  <c:v>727.95094799053106</c:v>
                </c:pt>
                <c:pt idx="55">
                  <c:v>731.96041451697613</c:v>
                </c:pt>
                <c:pt idx="56">
                  <c:v>735.96988104342131</c:v>
                </c:pt>
                <c:pt idx="57">
                  <c:v>739.97934756986638</c:v>
                </c:pt>
                <c:pt idx="58">
                  <c:v>743.98881409631156</c:v>
                </c:pt>
                <c:pt idx="59">
                  <c:v>747.99828062275662</c:v>
                </c:pt>
                <c:pt idx="60">
                  <c:v>752.0077471492018</c:v>
                </c:pt>
                <c:pt idx="61">
                  <c:v>756.01721367564687</c:v>
                </c:pt>
                <c:pt idx="62">
                  <c:v>760.02668020209194</c:v>
                </c:pt>
                <c:pt idx="63">
                  <c:v>764.03614672853712</c:v>
                </c:pt>
                <c:pt idx="64">
                  <c:v>768.04561325498219</c:v>
                </c:pt>
                <c:pt idx="65">
                  <c:v>772.05507978142737</c:v>
                </c:pt>
                <c:pt idx="66">
                  <c:v>776.06454630787243</c:v>
                </c:pt>
                <c:pt idx="67">
                  <c:v>780.07401283431761</c:v>
                </c:pt>
                <c:pt idx="68">
                  <c:v>784.08347936076268</c:v>
                </c:pt>
                <c:pt idx="69">
                  <c:v>788.09294588720786</c:v>
                </c:pt>
                <c:pt idx="70">
                  <c:v>792.10241241365293</c:v>
                </c:pt>
                <c:pt idx="71">
                  <c:v>796.11187894009799</c:v>
                </c:pt>
                <c:pt idx="72">
                  <c:v>800.12134546654318</c:v>
                </c:pt>
                <c:pt idx="73">
                  <c:v>804.13081199298824</c:v>
                </c:pt>
                <c:pt idx="74">
                  <c:v>808.14027851943342</c:v>
                </c:pt>
                <c:pt idx="75">
                  <c:v>812.14974504587849</c:v>
                </c:pt>
                <c:pt idx="76">
                  <c:v>816.15921157232356</c:v>
                </c:pt>
                <c:pt idx="77">
                  <c:v>820.16867809876874</c:v>
                </c:pt>
                <c:pt idx="78">
                  <c:v>824.17814462521392</c:v>
                </c:pt>
                <c:pt idx="79">
                  <c:v>828.18761115165898</c:v>
                </c:pt>
                <c:pt idx="80">
                  <c:v>832.19707767810405</c:v>
                </c:pt>
                <c:pt idx="81">
                  <c:v>836.20654420454923</c:v>
                </c:pt>
                <c:pt idx="82">
                  <c:v>840.2160107309943</c:v>
                </c:pt>
                <c:pt idx="83">
                  <c:v>844.22547725743948</c:v>
                </c:pt>
                <c:pt idx="84">
                  <c:v>848.23494378388455</c:v>
                </c:pt>
                <c:pt idx="85">
                  <c:v>852.24441031032961</c:v>
                </c:pt>
                <c:pt idx="86">
                  <c:v>856.25387683677479</c:v>
                </c:pt>
                <c:pt idx="87">
                  <c:v>860.26334336321986</c:v>
                </c:pt>
                <c:pt idx="88">
                  <c:v>864.27280988966504</c:v>
                </c:pt>
                <c:pt idx="89">
                  <c:v>868.28227641611011</c:v>
                </c:pt>
                <c:pt idx="90">
                  <c:v>872.29174294255529</c:v>
                </c:pt>
                <c:pt idx="91">
                  <c:v>876.30120946900036</c:v>
                </c:pt>
                <c:pt idx="92">
                  <c:v>880.31067599544554</c:v>
                </c:pt>
                <c:pt idx="93">
                  <c:v>884.3201425218906</c:v>
                </c:pt>
                <c:pt idx="94">
                  <c:v>888.32960904833567</c:v>
                </c:pt>
                <c:pt idx="95">
                  <c:v>892.33907557478085</c:v>
                </c:pt>
                <c:pt idx="96">
                  <c:v>896.34854210122592</c:v>
                </c:pt>
                <c:pt idx="97">
                  <c:v>900.3580086276711</c:v>
                </c:pt>
                <c:pt idx="98">
                  <c:v>904.36747515411616</c:v>
                </c:pt>
                <c:pt idx="99">
                  <c:v>908.37694168056123</c:v>
                </c:pt>
                <c:pt idx="100">
                  <c:v>912.38640820700641</c:v>
                </c:pt>
                <c:pt idx="101">
                  <c:v>916.39587473345159</c:v>
                </c:pt>
                <c:pt idx="102">
                  <c:v>920.40534125989666</c:v>
                </c:pt>
                <c:pt idx="103">
                  <c:v>924.41480778634173</c:v>
                </c:pt>
                <c:pt idx="104">
                  <c:v>928.42427431278679</c:v>
                </c:pt>
                <c:pt idx="105">
                  <c:v>932.43374083923197</c:v>
                </c:pt>
                <c:pt idx="106">
                  <c:v>936.44320736567715</c:v>
                </c:pt>
                <c:pt idx="107">
                  <c:v>940.45267389212222</c:v>
                </c:pt>
                <c:pt idx="108">
                  <c:v>944.46214041856729</c:v>
                </c:pt>
                <c:pt idx="109">
                  <c:v>950.476340208235</c:v>
                </c:pt>
                <c:pt idx="110">
                  <c:v>958.49527326112525</c:v>
                </c:pt>
                <c:pt idx="111">
                  <c:v>966.5142063140155</c:v>
                </c:pt>
                <c:pt idx="112">
                  <c:v>974.53313936690574</c:v>
                </c:pt>
                <c:pt idx="113">
                  <c:v>982.55207241979588</c:v>
                </c:pt>
                <c:pt idx="114">
                  <c:v>990.57100547268624</c:v>
                </c:pt>
                <c:pt idx="115">
                  <c:v>998.58993852557637</c:v>
                </c:pt>
                <c:pt idx="116">
                  <c:v>1006.6088715784666</c:v>
                </c:pt>
                <c:pt idx="117">
                  <c:v>1014.6278046313569</c:v>
                </c:pt>
                <c:pt idx="118">
                  <c:v>1022.6467376842471</c:v>
                </c:pt>
                <c:pt idx="119">
                  <c:v>1030.6656707371374</c:v>
                </c:pt>
                <c:pt idx="120">
                  <c:v>1038.6846037900275</c:v>
                </c:pt>
                <c:pt idx="121">
                  <c:v>1046.7035368429179</c:v>
                </c:pt>
                <c:pt idx="122">
                  <c:v>1054.722469895808</c:v>
                </c:pt>
                <c:pt idx="123">
                  <c:v>1062.7414029486984</c:v>
                </c:pt>
                <c:pt idx="124">
                  <c:v>1070.7603360015885</c:v>
                </c:pt>
                <c:pt idx="125">
                  <c:v>1078.7792690544788</c:v>
                </c:pt>
                <c:pt idx="126">
                  <c:v>1086.798202107369</c:v>
                </c:pt>
                <c:pt idx="127">
                  <c:v>1094.8171351602591</c:v>
                </c:pt>
                <c:pt idx="128">
                  <c:v>1102.8360682131495</c:v>
                </c:pt>
                <c:pt idx="129">
                  <c:v>1110.8550012660396</c:v>
                </c:pt>
                <c:pt idx="130">
                  <c:v>1118.87393431893</c:v>
                </c:pt>
                <c:pt idx="131">
                  <c:v>1126.8928673718201</c:v>
                </c:pt>
                <c:pt idx="132">
                  <c:v>1134.9118004247102</c:v>
                </c:pt>
                <c:pt idx="133">
                  <c:v>1142.9307334776006</c:v>
                </c:pt>
                <c:pt idx="134">
                  <c:v>1150.949666530491</c:v>
                </c:pt>
                <c:pt idx="135">
                  <c:v>1158.9685995833811</c:v>
                </c:pt>
                <c:pt idx="136">
                  <c:v>1166.9875326362712</c:v>
                </c:pt>
                <c:pt idx="137">
                  <c:v>1175.0064656891614</c:v>
                </c:pt>
                <c:pt idx="138">
                  <c:v>1183.0253987420517</c:v>
                </c:pt>
                <c:pt idx="139">
                  <c:v>1191.0443317949421</c:v>
                </c:pt>
                <c:pt idx="140">
                  <c:v>1199.0632648478322</c:v>
                </c:pt>
                <c:pt idx="141">
                  <c:v>1207.0821979007223</c:v>
                </c:pt>
                <c:pt idx="142">
                  <c:v>1215.1011309536127</c:v>
                </c:pt>
                <c:pt idx="143">
                  <c:v>1223.1200640065031</c:v>
                </c:pt>
                <c:pt idx="144">
                  <c:v>1231.1389970593932</c:v>
                </c:pt>
                <c:pt idx="145">
                  <c:v>1239.1579301122833</c:v>
                </c:pt>
                <c:pt idx="146">
                  <c:v>1247.1768631651735</c:v>
                </c:pt>
                <c:pt idx="147">
                  <c:v>1255.1957962180638</c:v>
                </c:pt>
                <c:pt idx="148">
                  <c:v>1263.2147292709542</c:v>
                </c:pt>
                <c:pt idx="149">
                  <c:v>1271.2336623238443</c:v>
                </c:pt>
                <c:pt idx="150">
                  <c:v>1279.2525953767345</c:v>
                </c:pt>
                <c:pt idx="151">
                  <c:v>1287.2715284296248</c:v>
                </c:pt>
                <c:pt idx="152">
                  <c:v>1295.290461482515</c:v>
                </c:pt>
                <c:pt idx="153">
                  <c:v>1303.3093945354053</c:v>
                </c:pt>
                <c:pt idx="154">
                  <c:v>1311.3283275882955</c:v>
                </c:pt>
                <c:pt idx="155">
                  <c:v>1319.3472606411856</c:v>
                </c:pt>
                <c:pt idx="156">
                  <c:v>1327.3661936940759</c:v>
                </c:pt>
                <c:pt idx="157">
                  <c:v>1335.3851267469663</c:v>
                </c:pt>
                <c:pt idx="158">
                  <c:v>1343.4040597998564</c:v>
                </c:pt>
                <c:pt idx="159">
                  <c:v>1355.4324593791916</c:v>
                </c:pt>
                <c:pt idx="160">
                  <c:v>1371.4703254849724</c:v>
                </c:pt>
                <c:pt idx="161">
                  <c:v>1387.5081915907526</c:v>
                </c:pt>
                <c:pt idx="162">
                  <c:v>1403.5460576965331</c:v>
                </c:pt>
                <c:pt idx="163">
                  <c:v>1419.5839238023136</c:v>
                </c:pt>
                <c:pt idx="164">
                  <c:v>1435.6217899080941</c:v>
                </c:pt>
                <c:pt idx="165">
                  <c:v>1451.6596560138746</c:v>
                </c:pt>
                <c:pt idx="166">
                  <c:v>1467.6975221196549</c:v>
                </c:pt>
                <c:pt idx="167">
                  <c:v>1483.7353882254356</c:v>
                </c:pt>
                <c:pt idx="168">
                  <c:v>1499.7732543312159</c:v>
                </c:pt>
                <c:pt idx="169">
                  <c:v>1515.8111204369964</c:v>
                </c:pt>
                <c:pt idx="170">
                  <c:v>1531.8489865427769</c:v>
                </c:pt>
                <c:pt idx="171">
                  <c:v>1547.8868526485574</c:v>
                </c:pt>
                <c:pt idx="172">
                  <c:v>1563.9247187543378</c:v>
                </c:pt>
                <c:pt idx="173">
                  <c:v>1579.9625848601181</c:v>
                </c:pt>
                <c:pt idx="174">
                  <c:v>1596.0004509658988</c:v>
                </c:pt>
                <c:pt idx="175">
                  <c:v>1612.0383170716791</c:v>
                </c:pt>
                <c:pt idx="176">
                  <c:v>1628.0761831774598</c:v>
                </c:pt>
                <c:pt idx="177">
                  <c:v>1644.1140492832401</c:v>
                </c:pt>
                <c:pt idx="178">
                  <c:v>1660.1519153890206</c:v>
                </c:pt>
                <c:pt idx="179">
                  <c:v>1676.1897814948011</c:v>
                </c:pt>
                <c:pt idx="180">
                  <c:v>1692.2276476005816</c:v>
                </c:pt>
                <c:pt idx="181">
                  <c:v>1708.2655137063621</c:v>
                </c:pt>
                <c:pt idx="182">
                  <c:v>1724.3033798121423</c:v>
                </c:pt>
                <c:pt idx="183">
                  <c:v>1740.3412459179228</c:v>
                </c:pt>
                <c:pt idx="184">
                  <c:v>1756.3791120237033</c:v>
                </c:pt>
                <c:pt idx="185">
                  <c:v>1772.4169781294838</c:v>
                </c:pt>
                <c:pt idx="186">
                  <c:v>1788.4548442352643</c:v>
                </c:pt>
                <c:pt idx="187">
                  <c:v>1804.4927103410448</c:v>
                </c:pt>
                <c:pt idx="188">
                  <c:v>1820.5305764468253</c:v>
                </c:pt>
                <c:pt idx="189">
                  <c:v>1836.5684425526058</c:v>
                </c:pt>
                <c:pt idx="190">
                  <c:v>1852.6063086583861</c:v>
                </c:pt>
                <c:pt idx="191">
                  <c:v>1868.6441747641666</c:v>
                </c:pt>
                <c:pt idx="192">
                  <c:v>1884.6820408699471</c:v>
                </c:pt>
                <c:pt idx="193">
                  <c:v>1900.7199069757276</c:v>
                </c:pt>
                <c:pt idx="194">
                  <c:v>1916.757773081508</c:v>
                </c:pt>
                <c:pt idx="195">
                  <c:v>1932.7956391872885</c:v>
                </c:pt>
                <c:pt idx="196">
                  <c:v>1948.833505293069</c:v>
                </c:pt>
                <c:pt idx="197">
                  <c:v>1964.8713713988495</c:v>
                </c:pt>
                <c:pt idx="198">
                  <c:v>1980.9092375046298</c:v>
                </c:pt>
                <c:pt idx="199">
                  <c:v>1996.9471036104103</c:v>
                </c:pt>
                <c:pt idx="200">
                  <c:v>2012.9849697161908</c:v>
                </c:pt>
                <c:pt idx="201">
                  <c:v>2029.0228358219713</c:v>
                </c:pt>
                <c:pt idx="202">
                  <c:v>2045.0607019277518</c:v>
                </c:pt>
                <c:pt idx="203">
                  <c:v>2061.0985680335325</c:v>
                </c:pt>
                <c:pt idx="204">
                  <c:v>2077.1364341393128</c:v>
                </c:pt>
                <c:pt idx="205">
                  <c:v>2093.174300245093</c:v>
                </c:pt>
                <c:pt idx="206">
                  <c:v>2109.2121663508733</c:v>
                </c:pt>
                <c:pt idx="207">
                  <c:v>2125.250032456654</c:v>
                </c:pt>
                <c:pt idx="208">
                  <c:v>2141.2878985624347</c:v>
                </c:pt>
                <c:pt idx="209">
                  <c:v>2157.325764668215</c:v>
                </c:pt>
                <c:pt idx="210">
                  <c:v>2173.3636307739953</c:v>
                </c:pt>
                <c:pt idx="211">
                  <c:v>2189.401496879776</c:v>
                </c:pt>
                <c:pt idx="212">
                  <c:v>2205.4393629855567</c:v>
                </c:pt>
                <c:pt idx="213">
                  <c:v>2221.477229091337</c:v>
                </c:pt>
                <c:pt idx="214">
                  <c:v>2237.5150951971173</c:v>
                </c:pt>
                <c:pt idx="215">
                  <c:v>2253.5529613028975</c:v>
                </c:pt>
                <c:pt idx="216">
                  <c:v>2269.5908274086783</c:v>
                </c:pt>
                <c:pt idx="217">
                  <c:v>2285.628693514459</c:v>
                </c:pt>
                <c:pt idx="218">
                  <c:v>2301.6665596202392</c:v>
                </c:pt>
                <c:pt idx="219">
                  <c:v>2317.7044257260195</c:v>
                </c:pt>
                <c:pt idx="220">
                  <c:v>2333.7422918318002</c:v>
                </c:pt>
                <c:pt idx="221">
                  <c:v>2349.7801579375805</c:v>
                </c:pt>
                <c:pt idx="222">
                  <c:v>2365.8180240433612</c:v>
                </c:pt>
                <c:pt idx="223">
                  <c:v>2381.8558901491415</c:v>
                </c:pt>
                <c:pt idx="224">
                  <c:v>2397.8937562549218</c:v>
                </c:pt>
                <c:pt idx="225">
                  <c:v>2413.9316223607025</c:v>
                </c:pt>
                <c:pt idx="226">
                  <c:v>2429.9694884664832</c:v>
                </c:pt>
                <c:pt idx="227">
                  <c:v>2446.0073545722635</c:v>
                </c:pt>
                <c:pt idx="228">
                  <c:v>2462.0452206780437</c:v>
                </c:pt>
                <c:pt idx="229">
                  <c:v>2478.083086783824</c:v>
                </c:pt>
                <c:pt idx="230">
                  <c:v>2494.1209528896047</c:v>
                </c:pt>
                <c:pt idx="231">
                  <c:v>2510.1588189953854</c:v>
                </c:pt>
                <c:pt idx="232">
                  <c:v>2526.1966851011657</c:v>
                </c:pt>
                <c:pt idx="233">
                  <c:v>2542.234551206946</c:v>
                </c:pt>
                <c:pt idx="234">
                  <c:v>2558.2724173127267</c:v>
                </c:pt>
                <c:pt idx="235">
                  <c:v>2574.3102834185074</c:v>
                </c:pt>
                <c:pt idx="236">
                  <c:v>2590.3481495242877</c:v>
                </c:pt>
                <c:pt idx="237">
                  <c:v>2606.386015630068</c:v>
                </c:pt>
                <c:pt idx="238">
                  <c:v>2622.4238817358482</c:v>
                </c:pt>
                <c:pt idx="239">
                  <c:v>2638.4617478416289</c:v>
                </c:pt>
                <c:pt idx="240">
                  <c:v>2654.4996139474097</c:v>
                </c:pt>
                <c:pt idx="241">
                  <c:v>2670.5374800531899</c:v>
                </c:pt>
                <c:pt idx="242">
                  <c:v>2686.5753461589702</c:v>
                </c:pt>
                <c:pt idx="243">
                  <c:v>2702.6132122647509</c:v>
                </c:pt>
                <c:pt idx="244">
                  <c:v>2718.6510783705312</c:v>
                </c:pt>
                <c:pt idx="245">
                  <c:v>2734.6889444763119</c:v>
                </c:pt>
                <c:pt idx="246">
                  <c:v>2750.7268105820922</c:v>
                </c:pt>
                <c:pt idx="247">
                  <c:v>2766.7646766878725</c:v>
                </c:pt>
                <c:pt idx="248">
                  <c:v>2782.8025427936532</c:v>
                </c:pt>
                <c:pt idx="249">
                  <c:v>2798.8404088994334</c:v>
                </c:pt>
                <c:pt idx="250">
                  <c:v>2814.8782750052142</c:v>
                </c:pt>
                <c:pt idx="251">
                  <c:v>2830.9161411109944</c:v>
                </c:pt>
                <c:pt idx="252">
                  <c:v>2846.9540072167752</c:v>
                </c:pt>
                <c:pt idx="253">
                  <c:v>2862.9918733225554</c:v>
                </c:pt>
                <c:pt idx="254">
                  <c:v>2879.0297394283361</c:v>
                </c:pt>
                <c:pt idx="255">
                  <c:v>2895.0676055341164</c:v>
                </c:pt>
                <c:pt idx="256">
                  <c:v>2911.1054716398967</c:v>
                </c:pt>
                <c:pt idx="257">
                  <c:v>2927.1433377456774</c:v>
                </c:pt>
                <c:pt idx="258">
                  <c:v>2941.1764705882351</c:v>
                </c:pt>
                <c:pt idx="259">
                  <c:v>2949.6428420243365</c:v>
                </c:pt>
                <c:pt idx="260">
                  <c:v>2960.2258063194631</c:v>
                </c:pt>
                <c:pt idx="261">
                  <c:v>2970.8087706145902</c:v>
                </c:pt>
                <c:pt idx="262">
                  <c:v>2981.3917349097169</c:v>
                </c:pt>
                <c:pt idx="263">
                  <c:v>2991.9746992048435</c:v>
                </c:pt>
                <c:pt idx="264">
                  <c:v>3002.5576634999707</c:v>
                </c:pt>
                <c:pt idx="265">
                  <c:v>3013.1406277950973</c:v>
                </c:pt>
                <c:pt idx="266">
                  <c:v>3023.723592090224</c:v>
                </c:pt>
                <c:pt idx="267">
                  <c:v>3034.3065563853506</c:v>
                </c:pt>
                <c:pt idx="268">
                  <c:v>3044.8895206804777</c:v>
                </c:pt>
                <c:pt idx="269">
                  <c:v>3055.4724849756044</c:v>
                </c:pt>
                <c:pt idx="270">
                  <c:v>3066.0554492707311</c:v>
                </c:pt>
                <c:pt idx="271">
                  <c:v>3076.6384135658582</c:v>
                </c:pt>
                <c:pt idx="272">
                  <c:v>3087.2213778609848</c:v>
                </c:pt>
                <c:pt idx="273">
                  <c:v>3097.8043421561115</c:v>
                </c:pt>
                <c:pt idx="274">
                  <c:v>3108.3873064512381</c:v>
                </c:pt>
                <c:pt idx="275">
                  <c:v>3118.9702707463653</c:v>
                </c:pt>
                <c:pt idx="276">
                  <c:v>3129.5532350414919</c:v>
                </c:pt>
                <c:pt idx="277">
                  <c:v>3140.1361993366186</c:v>
                </c:pt>
                <c:pt idx="278">
                  <c:v>3150.7191636317457</c:v>
                </c:pt>
                <c:pt idx="279">
                  <c:v>3161.3021279268723</c:v>
                </c:pt>
                <c:pt idx="280">
                  <c:v>3171.885092221999</c:v>
                </c:pt>
                <c:pt idx="281">
                  <c:v>3182.4680565171257</c:v>
                </c:pt>
                <c:pt idx="282">
                  <c:v>3193.0510208122528</c:v>
                </c:pt>
                <c:pt idx="283">
                  <c:v>3203.6339851073794</c:v>
                </c:pt>
                <c:pt idx="284">
                  <c:v>3214.2169494025061</c:v>
                </c:pt>
                <c:pt idx="285">
                  <c:v>3224.7999136976332</c:v>
                </c:pt>
                <c:pt idx="286">
                  <c:v>3235.3828779927599</c:v>
                </c:pt>
                <c:pt idx="287">
                  <c:v>3245.9658422878865</c:v>
                </c:pt>
                <c:pt idx="288">
                  <c:v>3256.5488065830132</c:v>
                </c:pt>
                <c:pt idx="289">
                  <c:v>3267.1317708781403</c:v>
                </c:pt>
                <c:pt idx="290">
                  <c:v>3277.7147351732669</c:v>
                </c:pt>
                <c:pt idx="291">
                  <c:v>3288.2976994683936</c:v>
                </c:pt>
                <c:pt idx="292">
                  <c:v>3298.8806637635207</c:v>
                </c:pt>
                <c:pt idx="293">
                  <c:v>3309.4636280586474</c:v>
                </c:pt>
                <c:pt idx="294">
                  <c:v>3320.046592353774</c:v>
                </c:pt>
                <c:pt idx="295">
                  <c:v>3330.6295566489007</c:v>
                </c:pt>
                <c:pt idx="296">
                  <c:v>3341.2125209440278</c:v>
                </c:pt>
                <c:pt idx="297">
                  <c:v>3351.7954852391545</c:v>
                </c:pt>
                <c:pt idx="298">
                  <c:v>3362.3784495342811</c:v>
                </c:pt>
                <c:pt idx="299">
                  <c:v>3372.9614138294078</c:v>
                </c:pt>
                <c:pt idx="300">
                  <c:v>3383.5443781245349</c:v>
                </c:pt>
                <c:pt idx="301">
                  <c:v>3394.1273424196615</c:v>
                </c:pt>
                <c:pt idx="302">
                  <c:v>3404.7103067147882</c:v>
                </c:pt>
                <c:pt idx="303">
                  <c:v>3415.2932710099153</c:v>
                </c:pt>
                <c:pt idx="304">
                  <c:v>3425.876235305042</c:v>
                </c:pt>
                <c:pt idx="305">
                  <c:v>3436.4591996001686</c:v>
                </c:pt>
                <c:pt idx="306">
                  <c:v>3447.0421638952953</c:v>
                </c:pt>
                <c:pt idx="307">
                  <c:v>3457.6251281904224</c:v>
                </c:pt>
                <c:pt idx="308">
                  <c:v>3468.2080924855491</c:v>
                </c:pt>
              </c:numCache>
            </c:numRef>
          </c:xVal>
          <c:yVal>
            <c:numRef>
              <c:f>'Full Profile'!$D$4:$D$312</c:f>
              <c:numCache>
                <c:formatCode>#,##0.00</c:formatCode>
                <c:ptCount val="309"/>
                <c:pt idx="0">
                  <c:v>0.75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5.25</c:v>
                </c:pt>
                <c:pt idx="5">
                  <c:v>8.75</c:v>
                </c:pt>
                <c:pt idx="6">
                  <c:v>13.25</c:v>
                </c:pt>
                <c:pt idx="7">
                  <c:v>16.75</c:v>
                </c:pt>
                <c:pt idx="8">
                  <c:v>19.75</c:v>
                </c:pt>
                <c:pt idx="9">
                  <c:v>22.5</c:v>
                </c:pt>
                <c:pt idx="10">
                  <c:v>27</c:v>
                </c:pt>
                <c:pt idx="11">
                  <c:v>33</c:v>
                </c:pt>
                <c:pt idx="12">
                  <c:v>42</c:v>
                </c:pt>
                <c:pt idx="13">
                  <c:v>54.25</c:v>
                </c:pt>
                <c:pt idx="14">
                  <c:v>65.5</c:v>
                </c:pt>
                <c:pt idx="15">
                  <c:v>75.5</c:v>
                </c:pt>
                <c:pt idx="16">
                  <c:v>85.5</c:v>
                </c:pt>
                <c:pt idx="17">
                  <c:v>95.5</c:v>
                </c:pt>
                <c:pt idx="18">
                  <c:v>105.5</c:v>
                </c:pt>
                <c:pt idx="19">
                  <c:v>115.5</c:v>
                </c:pt>
                <c:pt idx="20">
                  <c:v>125.5</c:v>
                </c:pt>
                <c:pt idx="21">
                  <c:v>135.5</c:v>
                </c:pt>
                <c:pt idx="22">
                  <c:v>145.5</c:v>
                </c:pt>
                <c:pt idx="23">
                  <c:v>155.5</c:v>
                </c:pt>
                <c:pt idx="24">
                  <c:v>165.5</c:v>
                </c:pt>
                <c:pt idx="25">
                  <c:v>175.5</c:v>
                </c:pt>
                <c:pt idx="26">
                  <c:v>185.5</c:v>
                </c:pt>
                <c:pt idx="27">
                  <c:v>195.5</c:v>
                </c:pt>
                <c:pt idx="28">
                  <c:v>205.5</c:v>
                </c:pt>
                <c:pt idx="29">
                  <c:v>215.5</c:v>
                </c:pt>
                <c:pt idx="30">
                  <c:v>225.5</c:v>
                </c:pt>
                <c:pt idx="31">
                  <c:v>235.25</c:v>
                </c:pt>
                <c:pt idx="32">
                  <c:v>245</c:v>
                </c:pt>
                <c:pt idx="33">
                  <c:v>255</c:v>
                </c:pt>
                <c:pt idx="34">
                  <c:v>265</c:v>
                </c:pt>
                <c:pt idx="35">
                  <c:v>275</c:v>
                </c:pt>
                <c:pt idx="36">
                  <c:v>285</c:v>
                </c:pt>
                <c:pt idx="37">
                  <c:v>295</c:v>
                </c:pt>
                <c:pt idx="38">
                  <c:v>305</c:v>
                </c:pt>
                <c:pt idx="39">
                  <c:v>315</c:v>
                </c:pt>
                <c:pt idx="40">
                  <c:v>325</c:v>
                </c:pt>
                <c:pt idx="41">
                  <c:v>335</c:v>
                </c:pt>
                <c:pt idx="42">
                  <c:v>345</c:v>
                </c:pt>
                <c:pt idx="43">
                  <c:v>355</c:v>
                </c:pt>
                <c:pt idx="44">
                  <c:v>365</c:v>
                </c:pt>
                <c:pt idx="45">
                  <c:v>375</c:v>
                </c:pt>
                <c:pt idx="46">
                  <c:v>385</c:v>
                </c:pt>
                <c:pt idx="47">
                  <c:v>395</c:v>
                </c:pt>
                <c:pt idx="48">
                  <c:v>405</c:v>
                </c:pt>
                <c:pt idx="49">
                  <c:v>415</c:v>
                </c:pt>
                <c:pt idx="50">
                  <c:v>425</c:v>
                </c:pt>
                <c:pt idx="51">
                  <c:v>435</c:v>
                </c:pt>
                <c:pt idx="52">
                  <c:v>445</c:v>
                </c:pt>
                <c:pt idx="53">
                  <c:v>455</c:v>
                </c:pt>
                <c:pt idx="54">
                  <c:v>465</c:v>
                </c:pt>
                <c:pt idx="55">
                  <c:v>475</c:v>
                </c:pt>
                <c:pt idx="56">
                  <c:v>485</c:v>
                </c:pt>
                <c:pt idx="57">
                  <c:v>495</c:v>
                </c:pt>
                <c:pt idx="58">
                  <c:v>505</c:v>
                </c:pt>
                <c:pt idx="59">
                  <c:v>515</c:v>
                </c:pt>
                <c:pt idx="60">
                  <c:v>525</c:v>
                </c:pt>
                <c:pt idx="61">
                  <c:v>535</c:v>
                </c:pt>
                <c:pt idx="62">
                  <c:v>545</c:v>
                </c:pt>
                <c:pt idx="63">
                  <c:v>555</c:v>
                </c:pt>
                <c:pt idx="64">
                  <c:v>565</c:v>
                </c:pt>
                <c:pt idx="65">
                  <c:v>575</c:v>
                </c:pt>
                <c:pt idx="66">
                  <c:v>585</c:v>
                </c:pt>
                <c:pt idx="67">
                  <c:v>595</c:v>
                </c:pt>
                <c:pt idx="68">
                  <c:v>605</c:v>
                </c:pt>
                <c:pt idx="69">
                  <c:v>615</c:v>
                </c:pt>
                <c:pt idx="70">
                  <c:v>625</c:v>
                </c:pt>
                <c:pt idx="71">
                  <c:v>635</c:v>
                </c:pt>
                <c:pt idx="72">
                  <c:v>645</c:v>
                </c:pt>
                <c:pt idx="73">
                  <c:v>655</c:v>
                </c:pt>
                <c:pt idx="74">
                  <c:v>665</c:v>
                </c:pt>
                <c:pt idx="75">
                  <c:v>675</c:v>
                </c:pt>
                <c:pt idx="76">
                  <c:v>685</c:v>
                </c:pt>
                <c:pt idx="77">
                  <c:v>695</c:v>
                </c:pt>
                <c:pt idx="78">
                  <c:v>705</c:v>
                </c:pt>
                <c:pt idx="79">
                  <c:v>715</c:v>
                </c:pt>
                <c:pt idx="80">
                  <c:v>725</c:v>
                </c:pt>
                <c:pt idx="81">
                  <c:v>735</c:v>
                </c:pt>
                <c:pt idx="82">
                  <c:v>745</c:v>
                </c:pt>
                <c:pt idx="83">
                  <c:v>755</c:v>
                </c:pt>
                <c:pt idx="84">
                  <c:v>765</c:v>
                </c:pt>
                <c:pt idx="85">
                  <c:v>775</c:v>
                </c:pt>
                <c:pt idx="86">
                  <c:v>785</c:v>
                </c:pt>
                <c:pt idx="87">
                  <c:v>795</c:v>
                </c:pt>
                <c:pt idx="88">
                  <c:v>805</c:v>
                </c:pt>
                <c:pt idx="89">
                  <c:v>815</c:v>
                </c:pt>
                <c:pt idx="90">
                  <c:v>825</c:v>
                </c:pt>
                <c:pt idx="91">
                  <c:v>835</c:v>
                </c:pt>
                <c:pt idx="92">
                  <c:v>845</c:v>
                </c:pt>
                <c:pt idx="93">
                  <c:v>855</c:v>
                </c:pt>
                <c:pt idx="94">
                  <c:v>865</c:v>
                </c:pt>
                <c:pt idx="95">
                  <c:v>875</c:v>
                </c:pt>
                <c:pt idx="96">
                  <c:v>885</c:v>
                </c:pt>
                <c:pt idx="97">
                  <c:v>895</c:v>
                </c:pt>
                <c:pt idx="98">
                  <c:v>905</c:v>
                </c:pt>
                <c:pt idx="99">
                  <c:v>915</c:v>
                </c:pt>
                <c:pt idx="100">
                  <c:v>925</c:v>
                </c:pt>
                <c:pt idx="101">
                  <c:v>935</c:v>
                </c:pt>
                <c:pt idx="102">
                  <c:v>945</c:v>
                </c:pt>
                <c:pt idx="103">
                  <c:v>955</c:v>
                </c:pt>
                <c:pt idx="104">
                  <c:v>965</c:v>
                </c:pt>
                <c:pt idx="105">
                  <c:v>975</c:v>
                </c:pt>
                <c:pt idx="106">
                  <c:v>985</c:v>
                </c:pt>
                <c:pt idx="107">
                  <c:v>995</c:v>
                </c:pt>
                <c:pt idx="108">
                  <c:v>1005</c:v>
                </c:pt>
                <c:pt idx="109">
                  <c:v>1020</c:v>
                </c:pt>
                <c:pt idx="110">
                  <c:v>1040</c:v>
                </c:pt>
                <c:pt idx="111">
                  <c:v>1060</c:v>
                </c:pt>
                <c:pt idx="112">
                  <c:v>1080</c:v>
                </c:pt>
                <c:pt idx="113">
                  <c:v>1100</c:v>
                </c:pt>
                <c:pt idx="114">
                  <c:v>1120</c:v>
                </c:pt>
                <c:pt idx="115">
                  <c:v>1140</c:v>
                </c:pt>
                <c:pt idx="116">
                  <c:v>1160</c:v>
                </c:pt>
                <c:pt idx="117">
                  <c:v>1180</c:v>
                </c:pt>
                <c:pt idx="118">
                  <c:v>1200</c:v>
                </c:pt>
                <c:pt idx="119">
                  <c:v>1220</c:v>
                </c:pt>
                <c:pt idx="120">
                  <c:v>1240</c:v>
                </c:pt>
                <c:pt idx="121">
                  <c:v>1260</c:v>
                </c:pt>
                <c:pt idx="122">
                  <c:v>1280</c:v>
                </c:pt>
                <c:pt idx="123">
                  <c:v>1300</c:v>
                </c:pt>
                <c:pt idx="124">
                  <c:v>1320</c:v>
                </c:pt>
                <c:pt idx="125">
                  <c:v>1340</c:v>
                </c:pt>
                <c:pt idx="126">
                  <c:v>1360</c:v>
                </c:pt>
                <c:pt idx="127">
                  <c:v>1380</c:v>
                </c:pt>
                <c:pt idx="128">
                  <c:v>1400</c:v>
                </c:pt>
                <c:pt idx="129">
                  <c:v>1420</c:v>
                </c:pt>
                <c:pt idx="130">
                  <c:v>1440</c:v>
                </c:pt>
                <c:pt idx="131">
                  <c:v>1460</c:v>
                </c:pt>
                <c:pt idx="132">
                  <c:v>1480</c:v>
                </c:pt>
                <c:pt idx="133">
                  <c:v>1500</c:v>
                </c:pt>
                <c:pt idx="134">
                  <c:v>1520</c:v>
                </c:pt>
                <c:pt idx="135">
                  <c:v>1540</c:v>
                </c:pt>
                <c:pt idx="136">
                  <c:v>1560</c:v>
                </c:pt>
                <c:pt idx="137">
                  <c:v>1580</c:v>
                </c:pt>
                <c:pt idx="138">
                  <c:v>1600</c:v>
                </c:pt>
                <c:pt idx="139">
                  <c:v>1620</c:v>
                </c:pt>
                <c:pt idx="140">
                  <c:v>1640</c:v>
                </c:pt>
                <c:pt idx="141">
                  <c:v>1660</c:v>
                </c:pt>
                <c:pt idx="142">
                  <c:v>1680</c:v>
                </c:pt>
                <c:pt idx="143">
                  <c:v>1700</c:v>
                </c:pt>
                <c:pt idx="144">
                  <c:v>1720</c:v>
                </c:pt>
                <c:pt idx="145">
                  <c:v>1740</c:v>
                </c:pt>
                <c:pt idx="146">
                  <c:v>1760</c:v>
                </c:pt>
                <c:pt idx="147">
                  <c:v>1780</c:v>
                </c:pt>
                <c:pt idx="148">
                  <c:v>1800</c:v>
                </c:pt>
                <c:pt idx="149">
                  <c:v>1820</c:v>
                </c:pt>
                <c:pt idx="150">
                  <c:v>1840</c:v>
                </c:pt>
                <c:pt idx="151">
                  <c:v>1860</c:v>
                </c:pt>
                <c:pt idx="152">
                  <c:v>1880</c:v>
                </c:pt>
                <c:pt idx="153">
                  <c:v>1900</c:v>
                </c:pt>
                <c:pt idx="154">
                  <c:v>1920</c:v>
                </c:pt>
                <c:pt idx="155">
                  <c:v>1940</c:v>
                </c:pt>
                <c:pt idx="156">
                  <c:v>1960</c:v>
                </c:pt>
                <c:pt idx="157">
                  <c:v>1980</c:v>
                </c:pt>
                <c:pt idx="158">
                  <c:v>2000</c:v>
                </c:pt>
                <c:pt idx="159">
                  <c:v>2030</c:v>
                </c:pt>
                <c:pt idx="160">
                  <c:v>2070</c:v>
                </c:pt>
                <c:pt idx="161">
                  <c:v>2110</c:v>
                </c:pt>
                <c:pt idx="162">
                  <c:v>2150</c:v>
                </c:pt>
                <c:pt idx="163">
                  <c:v>2190</c:v>
                </c:pt>
                <c:pt idx="164">
                  <c:v>2230</c:v>
                </c:pt>
                <c:pt idx="165">
                  <c:v>2270</c:v>
                </c:pt>
                <c:pt idx="166">
                  <c:v>2310</c:v>
                </c:pt>
                <c:pt idx="167">
                  <c:v>2350</c:v>
                </c:pt>
                <c:pt idx="168">
                  <c:v>2390</c:v>
                </c:pt>
                <c:pt idx="169">
                  <c:v>2430</c:v>
                </c:pt>
                <c:pt idx="170">
                  <c:v>2470</c:v>
                </c:pt>
                <c:pt idx="171">
                  <c:v>2510</c:v>
                </c:pt>
                <c:pt idx="172">
                  <c:v>2550</c:v>
                </c:pt>
                <c:pt idx="173">
                  <c:v>2590</c:v>
                </c:pt>
                <c:pt idx="174">
                  <c:v>2630</c:v>
                </c:pt>
                <c:pt idx="175">
                  <c:v>2670</c:v>
                </c:pt>
                <c:pt idx="176">
                  <c:v>2710</c:v>
                </c:pt>
                <c:pt idx="177">
                  <c:v>2750</c:v>
                </c:pt>
                <c:pt idx="178">
                  <c:v>2790</c:v>
                </c:pt>
                <c:pt idx="179">
                  <c:v>2830</c:v>
                </c:pt>
                <c:pt idx="180">
                  <c:v>2870</c:v>
                </c:pt>
                <c:pt idx="181">
                  <c:v>2910</c:v>
                </c:pt>
                <c:pt idx="182">
                  <c:v>2950</c:v>
                </c:pt>
                <c:pt idx="183">
                  <c:v>2990</c:v>
                </c:pt>
                <c:pt idx="184">
                  <c:v>3030</c:v>
                </c:pt>
                <c:pt idx="185">
                  <c:v>3070</c:v>
                </c:pt>
                <c:pt idx="186">
                  <c:v>3110</c:v>
                </c:pt>
                <c:pt idx="187">
                  <c:v>3150</c:v>
                </c:pt>
                <c:pt idx="188">
                  <c:v>3190</c:v>
                </c:pt>
                <c:pt idx="189">
                  <c:v>3230</c:v>
                </c:pt>
                <c:pt idx="190">
                  <c:v>3270</c:v>
                </c:pt>
                <c:pt idx="191">
                  <c:v>3310</c:v>
                </c:pt>
                <c:pt idx="192">
                  <c:v>3350</c:v>
                </c:pt>
                <c:pt idx="193">
                  <c:v>3390</c:v>
                </c:pt>
                <c:pt idx="194">
                  <c:v>3430</c:v>
                </c:pt>
                <c:pt idx="195">
                  <c:v>3470</c:v>
                </c:pt>
                <c:pt idx="196">
                  <c:v>3510</c:v>
                </c:pt>
                <c:pt idx="197">
                  <c:v>3550</c:v>
                </c:pt>
                <c:pt idx="198">
                  <c:v>3590</c:v>
                </c:pt>
                <c:pt idx="199">
                  <c:v>3630</c:v>
                </c:pt>
                <c:pt idx="200">
                  <c:v>3670</c:v>
                </c:pt>
                <c:pt idx="201">
                  <c:v>3710</c:v>
                </c:pt>
                <c:pt idx="202">
                  <c:v>3750</c:v>
                </c:pt>
                <c:pt idx="203">
                  <c:v>3790</c:v>
                </c:pt>
                <c:pt idx="204">
                  <c:v>3830</c:v>
                </c:pt>
                <c:pt idx="205">
                  <c:v>3870</c:v>
                </c:pt>
                <c:pt idx="206">
                  <c:v>3910</c:v>
                </c:pt>
                <c:pt idx="207">
                  <c:v>3950</c:v>
                </c:pt>
                <c:pt idx="208">
                  <c:v>3990</c:v>
                </c:pt>
                <c:pt idx="209">
                  <c:v>4030</c:v>
                </c:pt>
                <c:pt idx="210">
                  <c:v>4070</c:v>
                </c:pt>
                <c:pt idx="211">
                  <c:v>4110</c:v>
                </c:pt>
                <c:pt idx="212">
                  <c:v>4150</c:v>
                </c:pt>
                <c:pt idx="213">
                  <c:v>4190</c:v>
                </c:pt>
                <c:pt idx="214">
                  <c:v>4230</c:v>
                </c:pt>
                <c:pt idx="215">
                  <c:v>4270</c:v>
                </c:pt>
                <c:pt idx="216">
                  <c:v>4310</c:v>
                </c:pt>
                <c:pt idx="217">
                  <c:v>4350</c:v>
                </c:pt>
                <c:pt idx="218">
                  <c:v>4390</c:v>
                </c:pt>
                <c:pt idx="219">
                  <c:v>4430</c:v>
                </c:pt>
                <c:pt idx="220">
                  <c:v>4470</c:v>
                </c:pt>
                <c:pt idx="221">
                  <c:v>4510</c:v>
                </c:pt>
                <c:pt idx="222">
                  <c:v>4550</c:v>
                </c:pt>
                <c:pt idx="223">
                  <c:v>4590</c:v>
                </c:pt>
                <c:pt idx="224">
                  <c:v>4630</c:v>
                </c:pt>
                <c:pt idx="225">
                  <c:v>4670</c:v>
                </c:pt>
                <c:pt idx="226">
                  <c:v>4710</c:v>
                </c:pt>
                <c:pt idx="227">
                  <c:v>4750</c:v>
                </c:pt>
                <c:pt idx="228">
                  <c:v>4790</c:v>
                </c:pt>
                <c:pt idx="229">
                  <c:v>4830</c:v>
                </c:pt>
                <c:pt idx="230">
                  <c:v>4870</c:v>
                </c:pt>
                <c:pt idx="231">
                  <c:v>4910</c:v>
                </c:pt>
                <c:pt idx="232">
                  <c:v>4950</c:v>
                </c:pt>
                <c:pt idx="233">
                  <c:v>4990</c:v>
                </c:pt>
                <c:pt idx="234">
                  <c:v>5030</c:v>
                </c:pt>
                <c:pt idx="235">
                  <c:v>5070</c:v>
                </c:pt>
                <c:pt idx="236">
                  <c:v>5110</c:v>
                </c:pt>
                <c:pt idx="237">
                  <c:v>5150</c:v>
                </c:pt>
                <c:pt idx="238">
                  <c:v>5190</c:v>
                </c:pt>
                <c:pt idx="239">
                  <c:v>5230</c:v>
                </c:pt>
                <c:pt idx="240">
                  <c:v>5270</c:v>
                </c:pt>
                <c:pt idx="241">
                  <c:v>5310</c:v>
                </c:pt>
                <c:pt idx="242">
                  <c:v>5350</c:v>
                </c:pt>
                <c:pt idx="243">
                  <c:v>5390</c:v>
                </c:pt>
                <c:pt idx="244">
                  <c:v>5430</c:v>
                </c:pt>
                <c:pt idx="245">
                  <c:v>5470</c:v>
                </c:pt>
                <c:pt idx="246">
                  <c:v>5510</c:v>
                </c:pt>
                <c:pt idx="247">
                  <c:v>5550</c:v>
                </c:pt>
                <c:pt idx="248">
                  <c:v>5590</c:v>
                </c:pt>
                <c:pt idx="249">
                  <c:v>5630</c:v>
                </c:pt>
                <c:pt idx="250">
                  <c:v>5670</c:v>
                </c:pt>
                <c:pt idx="251">
                  <c:v>5710</c:v>
                </c:pt>
                <c:pt idx="252">
                  <c:v>5750</c:v>
                </c:pt>
                <c:pt idx="253">
                  <c:v>5790</c:v>
                </c:pt>
                <c:pt idx="254">
                  <c:v>5830</c:v>
                </c:pt>
                <c:pt idx="255">
                  <c:v>5870</c:v>
                </c:pt>
                <c:pt idx="256">
                  <c:v>5910</c:v>
                </c:pt>
                <c:pt idx="257">
                  <c:v>5950</c:v>
                </c:pt>
                <c:pt idx="258">
                  <c:v>5985</c:v>
                </c:pt>
                <c:pt idx="259">
                  <c:v>6025</c:v>
                </c:pt>
                <c:pt idx="260">
                  <c:v>6075</c:v>
                </c:pt>
                <c:pt idx="261">
                  <c:v>6125</c:v>
                </c:pt>
                <c:pt idx="262">
                  <c:v>6175</c:v>
                </c:pt>
                <c:pt idx="263">
                  <c:v>6225</c:v>
                </c:pt>
                <c:pt idx="264">
                  <c:v>6275</c:v>
                </c:pt>
                <c:pt idx="265">
                  <c:v>6325</c:v>
                </c:pt>
                <c:pt idx="266">
                  <c:v>6375</c:v>
                </c:pt>
                <c:pt idx="267">
                  <c:v>6425</c:v>
                </c:pt>
                <c:pt idx="268">
                  <c:v>6475</c:v>
                </c:pt>
                <c:pt idx="269">
                  <c:v>6525</c:v>
                </c:pt>
                <c:pt idx="270">
                  <c:v>6575</c:v>
                </c:pt>
                <c:pt idx="271">
                  <c:v>6625</c:v>
                </c:pt>
                <c:pt idx="272">
                  <c:v>6675</c:v>
                </c:pt>
                <c:pt idx="273">
                  <c:v>6725</c:v>
                </c:pt>
                <c:pt idx="274">
                  <c:v>6775</c:v>
                </c:pt>
                <c:pt idx="275">
                  <c:v>6825</c:v>
                </c:pt>
                <c:pt idx="276">
                  <c:v>6875</c:v>
                </c:pt>
                <c:pt idx="277">
                  <c:v>6925</c:v>
                </c:pt>
                <c:pt idx="278">
                  <c:v>6975</c:v>
                </c:pt>
                <c:pt idx="279">
                  <c:v>7025</c:v>
                </c:pt>
                <c:pt idx="280">
                  <c:v>7075</c:v>
                </c:pt>
                <c:pt idx="281">
                  <c:v>7125</c:v>
                </c:pt>
                <c:pt idx="282">
                  <c:v>7175</c:v>
                </c:pt>
                <c:pt idx="283">
                  <c:v>7225</c:v>
                </c:pt>
                <c:pt idx="284">
                  <c:v>7275</c:v>
                </c:pt>
                <c:pt idx="285">
                  <c:v>7325</c:v>
                </c:pt>
                <c:pt idx="286">
                  <c:v>7375</c:v>
                </c:pt>
                <c:pt idx="287">
                  <c:v>7425</c:v>
                </c:pt>
                <c:pt idx="288">
                  <c:v>7475</c:v>
                </c:pt>
                <c:pt idx="289">
                  <c:v>7525</c:v>
                </c:pt>
                <c:pt idx="290">
                  <c:v>7575</c:v>
                </c:pt>
                <c:pt idx="291">
                  <c:v>7625</c:v>
                </c:pt>
                <c:pt idx="292">
                  <c:v>7675</c:v>
                </c:pt>
                <c:pt idx="293">
                  <c:v>7725</c:v>
                </c:pt>
                <c:pt idx="294">
                  <c:v>7775</c:v>
                </c:pt>
                <c:pt idx="295">
                  <c:v>7825</c:v>
                </c:pt>
                <c:pt idx="296">
                  <c:v>7875</c:v>
                </c:pt>
                <c:pt idx="297">
                  <c:v>7925</c:v>
                </c:pt>
                <c:pt idx="298">
                  <c:v>7975</c:v>
                </c:pt>
                <c:pt idx="299">
                  <c:v>8025</c:v>
                </c:pt>
                <c:pt idx="300">
                  <c:v>8075</c:v>
                </c:pt>
                <c:pt idx="301">
                  <c:v>8125</c:v>
                </c:pt>
                <c:pt idx="302">
                  <c:v>8175</c:v>
                </c:pt>
                <c:pt idx="303">
                  <c:v>8225</c:v>
                </c:pt>
                <c:pt idx="304">
                  <c:v>8275</c:v>
                </c:pt>
                <c:pt idx="305">
                  <c:v>8325</c:v>
                </c:pt>
                <c:pt idx="306">
                  <c:v>8375</c:v>
                </c:pt>
                <c:pt idx="307">
                  <c:v>8425</c:v>
                </c:pt>
                <c:pt idx="308">
                  <c:v>8475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5-C145-B352-6BC3E1518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9808"/>
        <c:axId val="605202048"/>
      </c:scatterChart>
      <c:valAx>
        <c:axId val="605199808"/>
        <c:scaling>
          <c:orientation val="minMax"/>
          <c:max val="1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Vs (m/s)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5202048"/>
        <c:crosses val="autoZero"/>
        <c:crossBetween val="midCat"/>
      </c:valAx>
      <c:valAx>
        <c:axId val="605202048"/>
        <c:scaling>
          <c:orientation val="maxMin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Depth (m)</a:t>
                </a:r>
              </a:p>
            </c:rich>
          </c:tx>
          <c:layout>
            <c:manualLayout>
              <c:xMode val="edge"/>
              <c:yMode val="edge"/>
              <c:x val="1.239157372986369E-2"/>
              <c:y val="0.493173686622505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51998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</xdr:row>
      <xdr:rowOff>209550</xdr:rowOff>
    </xdr:from>
    <xdr:to>
      <xdr:col>18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165100</xdr:colOff>
      <xdr:row>2</xdr:row>
      <xdr:rowOff>12700</xdr:rowOff>
    </xdr:from>
    <xdr:to>
      <xdr:col>27</xdr:col>
      <xdr:colOff>527050</xdr:colOff>
      <xdr:row>28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31"/>
  <sheetViews>
    <sheetView topLeftCell="A296" workbookViewId="0">
      <selection activeCell="AE19" sqref="AE19"/>
    </sheetView>
  </sheetViews>
  <sheetFormatPr defaultColWidth="8.85546875" defaultRowHeight="15" x14ac:dyDescent="0.25"/>
  <cols>
    <col min="1" max="1" width="13.42578125" style="1" bestFit="1" customWidth="1"/>
    <col min="2" max="2" width="40.42578125" bestFit="1" customWidth="1"/>
    <col min="3" max="3" width="13.42578125" style="16" bestFit="1" customWidth="1"/>
    <col min="4" max="4" width="13.42578125" style="4" bestFit="1" customWidth="1"/>
    <col min="5" max="5" width="13.28515625" style="6" bestFit="1" customWidth="1"/>
    <col min="6" max="6" width="19.7109375" style="1" bestFit="1" customWidth="1"/>
    <col min="7" max="7" width="12.140625" style="1" bestFit="1" customWidth="1"/>
    <col min="8" max="8" width="17.42578125" style="6" bestFit="1" customWidth="1"/>
    <col min="9" max="9" width="19.28515625" style="6" bestFit="1" customWidth="1"/>
  </cols>
  <sheetData>
    <row r="1" spans="1:9" ht="19.5" customHeight="1" thickBot="1" x14ac:dyDescent="0.3">
      <c r="B1" s="27" t="s">
        <v>9</v>
      </c>
      <c r="C1" s="28">
        <v>4.5</v>
      </c>
      <c r="D1" s="29" t="s">
        <v>10</v>
      </c>
    </row>
    <row r="2" spans="1:9" ht="18.75" customHeight="1" x14ac:dyDescent="0.25"/>
    <row r="3" spans="1:9" ht="19.5" customHeight="1" x14ac:dyDescent="0.25">
      <c r="A3" s="17" t="s">
        <v>11</v>
      </c>
      <c r="B3" s="18" t="s">
        <v>12</v>
      </c>
      <c r="C3" s="19" t="s">
        <v>2</v>
      </c>
      <c r="D3" s="20" t="s">
        <v>1</v>
      </c>
      <c r="E3" s="20" t="s">
        <v>6</v>
      </c>
      <c r="F3" s="19" t="s">
        <v>3</v>
      </c>
      <c r="G3" s="19" t="s">
        <v>4</v>
      </c>
      <c r="H3" s="20" t="s">
        <v>13</v>
      </c>
      <c r="I3" s="20" t="s">
        <v>14</v>
      </c>
    </row>
    <row r="4" spans="1:9" ht="19.5" customHeight="1" x14ac:dyDescent="0.25">
      <c r="A4" s="21">
        <v>1</v>
      </c>
      <c r="B4" s="22" t="s">
        <v>15</v>
      </c>
      <c r="C4" s="20">
        <v>1.5</v>
      </c>
      <c r="D4" s="20">
        <f>SUM($C$3:C3)+C4/2</f>
        <v>0.75</v>
      </c>
      <c r="E4" s="20">
        <v>147.601</v>
      </c>
      <c r="F4" s="19">
        <v>19</v>
      </c>
      <c r="G4" s="19">
        <v>5</v>
      </c>
      <c r="H4" s="23">
        <f>2/3*(F4*D4)</f>
        <v>9.5</v>
      </c>
      <c r="I4" s="24">
        <v>25</v>
      </c>
    </row>
    <row r="5" spans="1:9" ht="19.5" customHeight="1" x14ac:dyDescent="0.25">
      <c r="A5" s="21">
        <v>2</v>
      </c>
      <c r="B5" s="22" t="s">
        <v>16</v>
      </c>
      <c r="C5" s="19">
        <v>1</v>
      </c>
      <c r="D5" s="20">
        <f>SUM($C$3:C4)+C5/2</f>
        <v>2</v>
      </c>
      <c r="E5" s="20">
        <v>147.601</v>
      </c>
      <c r="F5" s="19">
        <v>19</v>
      </c>
      <c r="G5" s="19">
        <v>20</v>
      </c>
      <c r="H5" s="23">
        <f>2/3*(F5*D5)</f>
        <v>25.333333333333332</v>
      </c>
      <c r="I5" s="24">
        <v>25</v>
      </c>
    </row>
    <row r="6" spans="1:9" ht="19.5" customHeight="1" x14ac:dyDescent="0.25">
      <c r="A6" s="21">
        <v>3</v>
      </c>
      <c r="B6" s="22" t="s">
        <v>17</v>
      </c>
      <c r="C6" s="19">
        <v>1</v>
      </c>
      <c r="D6" s="20">
        <f>SUM($C$3:C5)+C6/2</f>
        <v>3</v>
      </c>
      <c r="E6" s="20">
        <v>147.601</v>
      </c>
      <c r="F6" s="19">
        <v>19</v>
      </c>
      <c r="G6" s="19">
        <v>5</v>
      </c>
      <c r="H6" s="23">
        <f>2/3*(F6*D6)</f>
        <v>38</v>
      </c>
      <c r="I6" s="24">
        <v>50</v>
      </c>
    </row>
    <row r="7" spans="1:9" ht="19.5" customHeight="1" x14ac:dyDescent="0.25">
      <c r="A7" s="21">
        <v>4</v>
      </c>
      <c r="B7" s="22" t="s">
        <v>18</v>
      </c>
      <c r="C7" s="19">
        <v>1</v>
      </c>
      <c r="D7" s="20">
        <f>SUM($C$3:C6)+C7/2</f>
        <v>4</v>
      </c>
      <c r="E7" s="20">
        <v>147.601</v>
      </c>
      <c r="F7" s="19">
        <v>19</v>
      </c>
      <c r="G7" s="19">
        <v>5</v>
      </c>
      <c r="H7" s="23">
        <f>2/3*(F7*D7)</f>
        <v>50.666666666666664</v>
      </c>
      <c r="I7" s="24">
        <v>50</v>
      </c>
    </row>
    <row r="8" spans="1:9" ht="19.5" customHeight="1" x14ac:dyDescent="0.25">
      <c r="A8" s="21">
        <v>5</v>
      </c>
      <c r="B8" s="22" t="s">
        <v>19</v>
      </c>
      <c r="C8" s="20">
        <v>1.5</v>
      </c>
      <c r="D8" s="20">
        <f>SUM($C$3:C7)+C8/2</f>
        <v>5.25</v>
      </c>
      <c r="E8" s="20">
        <v>147.601</v>
      </c>
      <c r="F8" s="19">
        <v>19</v>
      </c>
      <c r="G8" s="19">
        <v>5</v>
      </c>
      <c r="H8" s="23">
        <f t="shared" ref="H8:H35" si="0">2/3*(F8*D8-(D8-4.5)*9.81)</f>
        <v>61.594999999999999</v>
      </c>
      <c r="I8" s="24">
        <v>100</v>
      </c>
    </row>
    <row r="9" spans="1:9" ht="19.5" customHeight="1" x14ac:dyDescent="0.25">
      <c r="A9" s="21">
        <v>6</v>
      </c>
      <c r="B9" s="22" t="s">
        <v>20</v>
      </c>
      <c r="C9" s="20">
        <v>5.5</v>
      </c>
      <c r="D9" s="20">
        <f>SUM($C$3:C8)+C9/2</f>
        <v>8.75</v>
      </c>
      <c r="E9" s="20">
        <v>163.7498181818182</v>
      </c>
      <c r="F9" s="19">
        <v>19</v>
      </c>
      <c r="G9" s="19">
        <v>20</v>
      </c>
      <c r="H9" s="23">
        <f t="shared" si="0"/>
        <v>83.038333333333327</v>
      </c>
      <c r="I9" s="24">
        <v>100</v>
      </c>
    </row>
    <row r="10" spans="1:9" ht="19.5" customHeight="1" x14ac:dyDescent="0.25">
      <c r="A10" s="21">
        <v>7</v>
      </c>
      <c r="B10" s="22" t="s">
        <v>21</v>
      </c>
      <c r="C10" s="20">
        <v>3.5</v>
      </c>
      <c r="D10" s="20">
        <f>SUM($C$3:C9)+C10/2</f>
        <v>13.25</v>
      </c>
      <c r="E10" s="20">
        <v>194.77128571428571</v>
      </c>
      <c r="F10" s="19">
        <v>19</v>
      </c>
      <c r="G10" s="19">
        <v>5</v>
      </c>
      <c r="H10" s="23">
        <f t="shared" si="0"/>
        <v>110.60833333333332</v>
      </c>
      <c r="I10" s="24">
        <v>100</v>
      </c>
    </row>
    <row r="11" spans="1:9" ht="19.5" customHeight="1" x14ac:dyDescent="0.25">
      <c r="A11" s="21">
        <v>8</v>
      </c>
      <c r="B11" s="22" t="s">
        <v>22</v>
      </c>
      <c r="C11" s="20">
        <v>3.5</v>
      </c>
      <c r="D11" s="20">
        <f>SUM($C$3:C10)+C11/2</f>
        <v>16.75</v>
      </c>
      <c r="E11" s="20">
        <v>254.20914285714281</v>
      </c>
      <c r="F11" s="19">
        <v>19</v>
      </c>
      <c r="G11" s="19">
        <v>5</v>
      </c>
      <c r="H11" s="23">
        <f t="shared" si="0"/>
        <v>132.05166666666665</v>
      </c>
      <c r="I11" s="24">
        <v>100</v>
      </c>
    </row>
    <row r="12" spans="1:9" ht="19.5" customHeight="1" x14ac:dyDescent="0.25">
      <c r="A12" s="21">
        <v>9</v>
      </c>
      <c r="B12" s="22" t="s">
        <v>23</v>
      </c>
      <c r="C12" s="20">
        <v>2.5</v>
      </c>
      <c r="D12" s="20">
        <f>SUM($C$3:C11)+C12/2</f>
        <v>19.75</v>
      </c>
      <c r="E12" s="20">
        <v>253.2722</v>
      </c>
      <c r="F12" s="19">
        <v>19</v>
      </c>
      <c r="G12" s="19">
        <v>20</v>
      </c>
      <c r="H12" s="23">
        <f t="shared" si="0"/>
        <v>150.43166666666664</v>
      </c>
      <c r="I12" s="24">
        <v>200</v>
      </c>
    </row>
    <row r="13" spans="1:9" ht="19.5" customHeight="1" x14ac:dyDescent="0.25">
      <c r="A13" s="21">
        <v>10</v>
      </c>
      <c r="B13" s="22" t="s">
        <v>24</v>
      </c>
      <c r="C13" s="19">
        <v>3</v>
      </c>
      <c r="D13" s="20">
        <f>SUM($C$3:C12)+C13/2</f>
        <v>22.5</v>
      </c>
      <c r="E13" s="20">
        <v>280.43566666666669</v>
      </c>
      <c r="F13" s="19">
        <v>19</v>
      </c>
      <c r="G13" s="19">
        <v>5</v>
      </c>
      <c r="H13" s="23">
        <f t="shared" si="0"/>
        <v>167.27999999999997</v>
      </c>
      <c r="I13" s="24">
        <v>200</v>
      </c>
    </row>
    <row r="14" spans="1:9" ht="19.5" customHeight="1" x14ac:dyDescent="0.25">
      <c r="A14" s="21">
        <v>11</v>
      </c>
      <c r="B14" s="22" t="s">
        <v>25</v>
      </c>
      <c r="C14" s="19">
        <v>6</v>
      </c>
      <c r="D14" s="20">
        <f>SUM($C$3:C13)+C14/2</f>
        <v>27</v>
      </c>
      <c r="E14" s="20">
        <v>256.10758333333342</v>
      </c>
      <c r="F14" s="19">
        <v>19</v>
      </c>
      <c r="G14" s="19">
        <v>5</v>
      </c>
      <c r="H14" s="23">
        <f t="shared" si="0"/>
        <v>194.84999999999997</v>
      </c>
      <c r="I14" s="24">
        <v>200</v>
      </c>
    </row>
    <row r="15" spans="1:9" ht="19.5" customHeight="1" x14ac:dyDescent="0.25">
      <c r="A15" s="21">
        <v>12</v>
      </c>
      <c r="B15" s="22" t="s">
        <v>26</v>
      </c>
      <c r="C15" s="19">
        <v>6</v>
      </c>
      <c r="D15" s="20">
        <f>SUM($C$3:C14)+C15/2</f>
        <v>33</v>
      </c>
      <c r="E15" s="20">
        <v>252.1049166666667</v>
      </c>
      <c r="F15" s="19">
        <v>19</v>
      </c>
      <c r="G15" s="19">
        <v>5</v>
      </c>
      <c r="H15" s="23">
        <f t="shared" si="0"/>
        <v>231.60999999999996</v>
      </c>
      <c r="I15" s="24">
        <v>200</v>
      </c>
    </row>
    <row r="16" spans="1:9" ht="19.5" customHeight="1" x14ac:dyDescent="0.25">
      <c r="A16" s="21">
        <v>13</v>
      </c>
      <c r="B16" s="22" t="s">
        <v>27</v>
      </c>
      <c r="C16" s="19">
        <v>12</v>
      </c>
      <c r="D16" s="20">
        <f>SUM($C$3:C15)+C16/2</f>
        <v>42</v>
      </c>
      <c r="E16" s="20">
        <v>229.08674999999999</v>
      </c>
      <c r="F16" s="19">
        <v>19</v>
      </c>
      <c r="G16" s="19">
        <v>20</v>
      </c>
      <c r="H16" s="23">
        <f t="shared" si="0"/>
        <v>286.75</v>
      </c>
      <c r="I16" s="24">
        <v>200</v>
      </c>
    </row>
    <row r="17" spans="1:9" ht="19.5" customHeight="1" x14ac:dyDescent="0.25">
      <c r="A17" s="21">
        <v>14</v>
      </c>
      <c r="B17" s="22" t="s">
        <v>28</v>
      </c>
      <c r="C17" s="20">
        <v>12.5</v>
      </c>
      <c r="D17" s="20">
        <f>SUM($C$3:C16)+C17/2</f>
        <v>54.25</v>
      </c>
      <c r="E17" s="20">
        <v>284.23284000000001</v>
      </c>
      <c r="F17" s="19">
        <v>19</v>
      </c>
      <c r="G17" s="19">
        <v>5</v>
      </c>
      <c r="H17" s="23">
        <f t="shared" si="0"/>
        <v>361.80166666666662</v>
      </c>
      <c r="I17" s="24">
        <v>400</v>
      </c>
    </row>
    <row r="18" spans="1:9" ht="19.5" customHeight="1" x14ac:dyDescent="0.25">
      <c r="A18" s="21">
        <v>15</v>
      </c>
      <c r="B18" s="22" t="s">
        <v>29</v>
      </c>
      <c r="C18" s="19">
        <v>10</v>
      </c>
      <c r="D18" s="20">
        <f>SUM($C$3:C17)+C18/2</f>
        <v>65.5</v>
      </c>
      <c r="E18" s="20">
        <v>336.60216666666668</v>
      </c>
      <c r="F18" s="19">
        <v>19</v>
      </c>
      <c r="G18" s="19">
        <v>20</v>
      </c>
      <c r="H18" s="23">
        <f t="shared" si="0"/>
        <v>430.72666666666657</v>
      </c>
      <c r="I18" s="24">
        <v>400</v>
      </c>
    </row>
    <row r="19" spans="1:9" ht="19.5" customHeight="1" x14ac:dyDescent="0.25">
      <c r="A19" s="21">
        <v>16</v>
      </c>
      <c r="B19" s="22" t="s">
        <v>30</v>
      </c>
      <c r="C19" s="19">
        <v>10</v>
      </c>
      <c r="D19" s="20">
        <f>SUM($C$3:C18)+C19/2</f>
        <v>75.5</v>
      </c>
      <c r="E19" s="20">
        <v>345.52519999999998</v>
      </c>
      <c r="F19" s="19">
        <v>19</v>
      </c>
      <c r="G19" s="19">
        <v>20</v>
      </c>
      <c r="H19" s="23">
        <f t="shared" si="0"/>
        <v>491.99333333333334</v>
      </c>
      <c r="I19" s="24">
        <v>400</v>
      </c>
    </row>
    <row r="20" spans="1:9" ht="19.5" customHeight="1" x14ac:dyDescent="0.25">
      <c r="A20" s="21">
        <v>17</v>
      </c>
      <c r="B20" s="22" t="s">
        <v>31</v>
      </c>
      <c r="C20" s="19">
        <v>10</v>
      </c>
      <c r="D20" s="20">
        <f>SUM($C$3:C19)+C20/2</f>
        <v>85.5</v>
      </c>
      <c r="E20" s="20">
        <v>330.69930000000011</v>
      </c>
      <c r="F20" s="19">
        <v>19</v>
      </c>
      <c r="G20" s="19">
        <v>20</v>
      </c>
      <c r="H20" s="23">
        <f t="shared" si="0"/>
        <v>553.26</v>
      </c>
      <c r="I20" s="24">
        <v>400</v>
      </c>
    </row>
    <row r="21" spans="1:9" ht="19.5" customHeight="1" x14ac:dyDescent="0.25">
      <c r="A21" s="21">
        <v>18</v>
      </c>
      <c r="B21" s="22" t="s">
        <v>32</v>
      </c>
      <c r="C21" s="19">
        <v>10</v>
      </c>
      <c r="D21" s="20">
        <f>SUM($C$3:C20)+C21/2</f>
        <v>95.5</v>
      </c>
      <c r="E21" s="20">
        <v>401.21390000000002</v>
      </c>
      <c r="F21" s="19">
        <v>19</v>
      </c>
      <c r="G21" s="19">
        <v>20</v>
      </c>
      <c r="H21" s="23">
        <f t="shared" si="0"/>
        <v>614.52666666666664</v>
      </c>
      <c r="I21" s="24">
        <v>800</v>
      </c>
    </row>
    <row r="22" spans="1:9" ht="19.5" customHeight="1" x14ac:dyDescent="0.25">
      <c r="A22" s="21">
        <v>19</v>
      </c>
      <c r="B22" s="22" t="s">
        <v>33</v>
      </c>
      <c r="C22" s="19">
        <v>10</v>
      </c>
      <c r="D22" s="20">
        <f>SUM($C$3:C21)+C22/2</f>
        <v>105.5</v>
      </c>
      <c r="E22" s="20">
        <v>416.64722222222218</v>
      </c>
      <c r="F22" s="19">
        <v>19</v>
      </c>
      <c r="G22" s="19">
        <v>20</v>
      </c>
      <c r="H22" s="23">
        <f t="shared" si="0"/>
        <v>675.79333333333329</v>
      </c>
      <c r="I22" s="24">
        <v>800</v>
      </c>
    </row>
    <row r="23" spans="1:9" ht="19.5" customHeight="1" x14ac:dyDescent="0.25">
      <c r="A23" s="21">
        <v>20</v>
      </c>
      <c r="B23" s="22" t="s">
        <v>34</v>
      </c>
      <c r="C23" s="19">
        <v>10</v>
      </c>
      <c r="D23" s="20">
        <f>SUM($C$3:C22)+C23/2</f>
        <v>115.5</v>
      </c>
      <c r="E23" s="20">
        <v>390.74349999999998</v>
      </c>
      <c r="F23" s="19">
        <v>19</v>
      </c>
      <c r="G23" s="19">
        <v>20</v>
      </c>
      <c r="H23" s="23">
        <f t="shared" si="0"/>
        <v>737.06</v>
      </c>
      <c r="I23" s="24">
        <v>800</v>
      </c>
    </row>
    <row r="24" spans="1:9" ht="19.5" customHeight="1" x14ac:dyDescent="0.25">
      <c r="A24" s="21">
        <v>21</v>
      </c>
      <c r="B24" s="22" t="s">
        <v>35</v>
      </c>
      <c r="C24" s="19">
        <v>10</v>
      </c>
      <c r="D24" s="20">
        <f>SUM($C$3:C23)+C24/2</f>
        <v>125.5</v>
      </c>
      <c r="E24" s="20">
        <v>447.57044444444438</v>
      </c>
      <c r="F24" s="19">
        <v>19</v>
      </c>
      <c r="G24" s="19">
        <v>20</v>
      </c>
      <c r="H24" s="23">
        <f t="shared" si="0"/>
        <v>798.3266666666666</v>
      </c>
      <c r="I24" s="24">
        <v>800</v>
      </c>
    </row>
    <row r="25" spans="1:9" ht="19.5" customHeight="1" x14ac:dyDescent="0.25">
      <c r="A25" s="21">
        <v>22</v>
      </c>
      <c r="B25" s="22" t="s">
        <v>36</v>
      </c>
      <c r="C25" s="19">
        <v>10</v>
      </c>
      <c r="D25" s="20">
        <f>SUM($C$3:C24)+C25/2</f>
        <v>135.5</v>
      </c>
      <c r="E25" s="20">
        <v>408.6927</v>
      </c>
      <c r="F25" s="19">
        <v>19</v>
      </c>
      <c r="G25" s="19">
        <v>20</v>
      </c>
      <c r="H25" s="23">
        <f t="shared" si="0"/>
        <v>859.59333333333325</v>
      </c>
      <c r="I25" s="24">
        <v>800</v>
      </c>
    </row>
    <row r="26" spans="1:9" ht="19.5" customHeight="1" x14ac:dyDescent="0.25">
      <c r="A26" s="21">
        <v>23</v>
      </c>
      <c r="B26" s="22" t="s">
        <v>37</v>
      </c>
      <c r="C26" s="19">
        <v>10</v>
      </c>
      <c r="D26" s="20">
        <f>SUM($C$3:C25)+C26/2</f>
        <v>145.5</v>
      </c>
      <c r="E26" s="20">
        <v>392.07549999999998</v>
      </c>
      <c r="F26" s="19">
        <v>19</v>
      </c>
      <c r="G26" s="19">
        <v>20</v>
      </c>
      <c r="H26" s="23">
        <f t="shared" si="0"/>
        <v>920.8599999999999</v>
      </c>
      <c r="I26" s="24">
        <v>1000</v>
      </c>
    </row>
    <row r="27" spans="1:9" ht="19.5" customHeight="1" x14ac:dyDescent="0.25">
      <c r="A27" s="21">
        <v>24</v>
      </c>
      <c r="B27" s="22" t="s">
        <v>38</v>
      </c>
      <c r="C27" s="19">
        <v>10</v>
      </c>
      <c r="D27" s="20">
        <f>SUM($C$3:C26)+C27/2</f>
        <v>155.5</v>
      </c>
      <c r="E27" s="20">
        <v>543.87430000000006</v>
      </c>
      <c r="F27" s="19">
        <v>19</v>
      </c>
      <c r="G27" s="19">
        <v>20</v>
      </c>
      <c r="H27" s="23">
        <f t="shared" si="0"/>
        <v>982.12666666666655</v>
      </c>
      <c r="I27" s="24">
        <v>1000</v>
      </c>
    </row>
    <row r="28" spans="1:9" ht="19.5" customHeight="1" x14ac:dyDescent="0.25">
      <c r="A28" s="21">
        <v>25</v>
      </c>
      <c r="B28" s="22" t="s">
        <v>39</v>
      </c>
      <c r="C28" s="19">
        <v>10</v>
      </c>
      <c r="D28" s="20">
        <f>SUM($C$3:C27)+C28/2</f>
        <v>165.5</v>
      </c>
      <c r="E28" s="20">
        <v>481.63619999999997</v>
      </c>
      <c r="F28" s="19">
        <v>19</v>
      </c>
      <c r="G28" s="19">
        <v>20</v>
      </c>
      <c r="H28" s="23">
        <f t="shared" si="0"/>
        <v>1043.3933333333332</v>
      </c>
      <c r="I28" s="24">
        <v>1000</v>
      </c>
    </row>
    <row r="29" spans="1:9" ht="19.5" customHeight="1" x14ac:dyDescent="0.25">
      <c r="A29" s="21">
        <v>26</v>
      </c>
      <c r="B29" s="22" t="s">
        <v>40</v>
      </c>
      <c r="C29" s="19">
        <v>10</v>
      </c>
      <c r="D29" s="20">
        <f>SUM($C$3:C28)+C29/2</f>
        <v>175.5</v>
      </c>
      <c r="E29" s="20">
        <v>535.28859999999997</v>
      </c>
      <c r="F29" s="19">
        <v>19</v>
      </c>
      <c r="G29" s="19">
        <v>20</v>
      </c>
      <c r="H29" s="23">
        <f t="shared" si="0"/>
        <v>1104.6599999999999</v>
      </c>
      <c r="I29" s="24">
        <v>1000</v>
      </c>
    </row>
    <row r="30" spans="1:9" ht="19.5" customHeight="1" x14ac:dyDescent="0.25">
      <c r="A30" s="21">
        <v>27</v>
      </c>
      <c r="B30" s="22" t="s">
        <v>41</v>
      </c>
      <c r="C30" s="19">
        <v>10</v>
      </c>
      <c r="D30" s="20">
        <f>SUM($C$3:C29)+C30/2</f>
        <v>185.5</v>
      </c>
      <c r="E30" s="20">
        <v>572.80110000000002</v>
      </c>
      <c r="F30" s="19">
        <v>19</v>
      </c>
      <c r="G30" s="19">
        <v>20</v>
      </c>
      <c r="H30" s="23">
        <f t="shared" si="0"/>
        <v>1165.9266666666665</v>
      </c>
      <c r="I30" s="24">
        <v>1000</v>
      </c>
    </row>
    <row r="31" spans="1:9" ht="19.5" customHeight="1" x14ac:dyDescent="0.25">
      <c r="A31" s="21">
        <v>28</v>
      </c>
      <c r="B31" s="22" t="s">
        <v>42</v>
      </c>
      <c r="C31" s="19">
        <v>10</v>
      </c>
      <c r="D31" s="20">
        <f>SUM($C$3:C30)+C31/2</f>
        <v>195.5</v>
      </c>
      <c r="E31" s="20">
        <v>479.34545454545457</v>
      </c>
      <c r="F31" s="19">
        <v>19</v>
      </c>
      <c r="G31" s="19">
        <v>20</v>
      </c>
      <c r="H31" s="23">
        <f t="shared" si="0"/>
        <v>1227.1933333333332</v>
      </c>
      <c r="I31" s="24">
        <v>1000</v>
      </c>
    </row>
    <row r="32" spans="1:9" ht="19.5" customHeight="1" x14ac:dyDescent="0.25">
      <c r="A32" s="21">
        <v>29</v>
      </c>
      <c r="B32" s="22" t="s">
        <v>43</v>
      </c>
      <c r="C32" s="19">
        <v>10</v>
      </c>
      <c r="D32" s="20">
        <f>SUM($C$3:C31)+C32/2</f>
        <v>205.5</v>
      </c>
      <c r="E32" s="20">
        <v>471.125</v>
      </c>
      <c r="F32" s="19">
        <v>19</v>
      </c>
      <c r="G32" s="19">
        <v>20</v>
      </c>
      <c r="H32" s="23">
        <f t="shared" si="0"/>
        <v>1288.4599999999998</v>
      </c>
      <c r="I32" s="24">
        <v>1000</v>
      </c>
    </row>
    <row r="33" spans="1:9" ht="19.5" customHeight="1" x14ac:dyDescent="0.25">
      <c r="A33" s="21">
        <v>30</v>
      </c>
      <c r="B33" s="22" t="s">
        <v>44</v>
      </c>
      <c r="C33" s="19">
        <v>10</v>
      </c>
      <c r="D33" s="20">
        <f>SUM($C$3:C32)+C33/2</f>
        <v>215.5</v>
      </c>
      <c r="E33" s="20">
        <v>568.93466666666654</v>
      </c>
      <c r="F33" s="19">
        <v>19</v>
      </c>
      <c r="G33" s="19">
        <v>20</v>
      </c>
      <c r="H33" s="23">
        <f t="shared" si="0"/>
        <v>1349.7266666666665</v>
      </c>
      <c r="I33" s="24">
        <v>1000</v>
      </c>
    </row>
    <row r="34" spans="1:9" ht="19.5" customHeight="1" x14ac:dyDescent="0.25">
      <c r="A34" s="21">
        <v>31</v>
      </c>
      <c r="B34" s="22" t="s">
        <v>45</v>
      </c>
      <c r="C34" s="19">
        <v>10</v>
      </c>
      <c r="D34" s="20">
        <f>SUM($C$3:C33)+C34/2</f>
        <v>225.5</v>
      </c>
      <c r="E34" s="20">
        <v>685.59800000000018</v>
      </c>
      <c r="F34" s="19">
        <v>19</v>
      </c>
      <c r="G34" s="19">
        <v>20</v>
      </c>
      <c r="H34" s="23">
        <f t="shared" si="0"/>
        <v>1410.9933333333331</v>
      </c>
      <c r="I34" s="24">
        <v>1000</v>
      </c>
    </row>
    <row r="35" spans="1:9" ht="19.5" customHeight="1" x14ac:dyDescent="0.25">
      <c r="A35" s="21">
        <v>32</v>
      </c>
      <c r="B35" s="22" t="s">
        <v>46</v>
      </c>
      <c r="C35" s="20">
        <v>9.5</v>
      </c>
      <c r="D35" s="20">
        <f>SUM($C$3:C34)+C35/2</f>
        <v>235.25</v>
      </c>
      <c r="E35" s="20">
        <v>635.83345454545452</v>
      </c>
      <c r="F35" s="19">
        <v>19</v>
      </c>
      <c r="G35" s="19">
        <v>20</v>
      </c>
      <c r="H35" s="23">
        <f t="shared" si="0"/>
        <v>1470.728333333333</v>
      </c>
      <c r="I35" s="24">
        <v>1000</v>
      </c>
    </row>
    <row r="36" spans="1:9" ht="19.5" customHeight="1" x14ac:dyDescent="0.25">
      <c r="A36" s="21">
        <v>33</v>
      </c>
      <c r="B36" s="25" t="s">
        <v>47</v>
      </c>
      <c r="C36" s="19">
        <v>10</v>
      </c>
      <c r="D36" s="20">
        <f>SUM($C$3:C35)+C36/2</f>
        <v>245</v>
      </c>
      <c r="E36" s="20">
        <f t="shared" ref="E36:E99" si="1">($E$262-$E$35)/($D$262-$D$35)*(D36-$D$35)+$E$35</f>
        <v>639.74268440873846</v>
      </c>
      <c r="F36" s="19">
        <v>21</v>
      </c>
      <c r="G36" s="19">
        <v>5</v>
      </c>
      <c r="H36" s="26">
        <f t="shared" ref="H36:H99" si="2">2/3*(240*19+(D36-240)*21-(D36-4.5)*9.81)</f>
        <v>1537.1299999999997</v>
      </c>
      <c r="I36" s="24">
        <v>2000</v>
      </c>
    </row>
    <row r="37" spans="1:9" ht="19.5" customHeight="1" x14ac:dyDescent="0.25">
      <c r="A37" s="21">
        <v>34</v>
      </c>
      <c r="B37" s="25" t="s">
        <v>48</v>
      </c>
      <c r="C37" s="19">
        <v>10</v>
      </c>
      <c r="D37" s="20">
        <f>SUM($C$3:C36)+C37/2</f>
        <v>255</v>
      </c>
      <c r="E37" s="20">
        <f t="shared" si="1"/>
        <v>643.75215093518364</v>
      </c>
      <c r="F37" s="19">
        <v>21</v>
      </c>
      <c r="G37" s="19">
        <v>5</v>
      </c>
      <c r="H37" s="26">
        <f t="shared" si="2"/>
        <v>1611.7299999999998</v>
      </c>
      <c r="I37" s="24">
        <v>2000</v>
      </c>
    </row>
    <row r="38" spans="1:9" ht="19.5" customHeight="1" x14ac:dyDescent="0.25">
      <c r="A38" s="21">
        <v>35</v>
      </c>
      <c r="B38" s="25" t="s">
        <v>49</v>
      </c>
      <c r="C38" s="19">
        <v>10</v>
      </c>
      <c r="D38" s="20">
        <f>SUM($C$3:C37)+C38/2</f>
        <v>265</v>
      </c>
      <c r="E38" s="20">
        <f t="shared" si="1"/>
        <v>647.7616174616287</v>
      </c>
      <c r="F38" s="19">
        <v>21</v>
      </c>
      <c r="G38" s="19">
        <v>5</v>
      </c>
      <c r="H38" s="26">
        <f t="shared" si="2"/>
        <v>1686.33</v>
      </c>
      <c r="I38" s="24">
        <v>2000</v>
      </c>
    </row>
    <row r="39" spans="1:9" ht="19.5" customHeight="1" x14ac:dyDescent="0.25">
      <c r="A39" s="21">
        <v>36</v>
      </c>
      <c r="B39" s="25" t="s">
        <v>50</v>
      </c>
      <c r="C39" s="19">
        <v>10</v>
      </c>
      <c r="D39" s="20">
        <f>SUM($C$3:C38)+C39/2</f>
        <v>275</v>
      </c>
      <c r="E39" s="20">
        <f t="shared" si="1"/>
        <v>651.77108398807388</v>
      </c>
      <c r="F39" s="19">
        <v>21</v>
      </c>
      <c r="G39" s="19">
        <v>5</v>
      </c>
      <c r="H39" s="26">
        <f t="shared" si="2"/>
        <v>1760.9299999999998</v>
      </c>
      <c r="I39" s="24">
        <v>2000</v>
      </c>
    </row>
    <row r="40" spans="1:9" ht="19.5" customHeight="1" x14ac:dyDescent="0.25">
      <c r="A40" s="21">
        <v>37</v>
      </c>
      <c r="B40" s="25" t="s">
        <v>51</v>
      </c>
      <c r="C40" s="19">
        <v>10</v>
      </c>
      <c r="D40" s="20">
        <f>SUM($C$3:C39)+C40/2</f>
        <v>285</v>
      </c>
      <c r="E40" s="20">
        <f t="shared" si="1"/>
        <v>655.78055051451895</v>
      </c>
      <c r="F40" s="19">
        <v>21</v>
      </c>
      <c r="G40" s="19">
        <v>5</v>
      </c>
      <c r="H40" s="26">
        <f t="shared" si="2"/>
        <v>1835.53</v>
      </c>
      <c r="I40" s="24">
        <v>2000</v>
      </c>
    </row>
    <row r="41" spans="1:9" ht="19.5" customHeight="1" x14ac:dyDescent="0.25">
      <c r="A41" s="21">
        <v>38</v>
      </c>
      <c r="B41" s="25" t="s">
        <v>52</v>
      </c>
      <c r="C41" s="19">
        <v>10</v>
      </c>
      <c r="D41" s="20">
        <f>SUM($C$3:C40)+C41/2</f>
        <v>295</v>
      </c>
      <c r="E41" s="20">
        <f t="shared" si="1"/>
        <v>659.79001704096413</v>
      </c>
      <c r="F41" s="19">
        <v>21</v>
      </c>
      <c r="G41" s="19">
        <v>5</v>
      </c>
      <c r="H41" s="26">
        <f t="shared" si="2"/>
        <v>1910.1299999999997</v>
      </c>
      <c r="I41" s="24">
        <v>2000</v>
      </c>
    </row>
    <row r="42" spans="1:9" ht="19.5" customHeight="1" x14ac:dyDescent="0.25">
      <c r="A42" s="21">
        <v>39</v>
      </c>
      <c r="B42" s="25" t="s">
        <v>53</v>
      </c>
      <c r="C42" s="19">
        <v>10</v>
      </c>
      <c r="D42" s="20">
        <f>SUM($C$3:C41)+C42/2</f>
        <v>305</v>
      </c>
      <c r="E42" s="20">
        <f t="shared" si="1"/>
        <v>663.7994835674092</v>
      </c>
      <c r="F42" s="19">
        <v>21</v>
      </c>
      <c r="G42" s="19">
        <v>5</v>
      </c>
      <c r="H42" s="26">
        <f t="shared" si="2"/>
        <v>1984.7299999999998</v>
      </c>
      <c r="I42" s="24">
        <v>2000</v>
      </c>
    </row>
    <row r="43" spans="1:9" ht="19.5" customHeight="1" x14ac:dyDescent="0.25">
      <c r="A43" s="21">
        <v>40</v>
      </c>
      <c r="B43" s="25" t="s">
        <v>54</v>
      </c>
      <c r="C43" s="19">
        <v>10</v>
      </c>
      <c r="D43" s="20">
        <f>SUM($C$3:C42)+C43/2</f>
        <v>315</v>
      </c>
      <c r="E43" s="20">
        <f t="shared" si="1"/>
        <v>667.80895009385426</v>
      </c>
      <c r="F43" s="19">
        <v>21</v>
      </c>
      <c r="G43" s="19">
        <v>5</v>
      </c>
      <c r="H43" s="26">
        <f t="shared" si="2"/>
        <v>2059.33</v>
      </c>
      <c r="I43" s="24">
        <v>2000</v>
      </c>
    </row>
    <row r="44" spans="1:9" ht="19.5" customHeight="1" x14ac:dyDescent="0.25">
      <c r="A44" s="21">
        <v>41</v>
      </c>
      <c r="B44" s="25" t="s">
        <v>55</v>
      </c>
      <c r="C44" s="19">
        <v>10</v>
      </c>
      <c r="D44" s="20">
        <f>SUM($C$3:C43)+C44/2</f>
        <v>325</v>
      </c>
      <c r="E44" s="20">
        <f t="shared" si="1"/>
        <v>671.81841662029944</v>
      </c>
      <c r="F44" s="19">
        <v>21</v>
      </c>
      <c r="G44" s="19">
        <v>5</v>
      </c>
      <c r="H44" s="26">
        <f t="shared" si="2"/>
        <v>2133.9299999999998</v>
      </c>
      <c r="I44" s="24">
        <v>2000</v>
      </c>
    </row>
    <row r="45" spans="1:9" ht="19.5" customHeight="1" x14ac:dyDescent="0.25">
      <c r="A45" s="21">
        <v>42</v>
      </c>
      <c r="B45" s="25" t="s">
        <v>56</v>
      </c>
      <c r="C45" s="19">
        <v>10</v>
      </c>
      <c r="D45" s="20">
        <f>SUM($C$3:C44)+C45/2</f>
        <v>335</v>
      </c>
      <c r="E45" s="20">
        <f t="shared" si="1"/>
        <v>675.82788314674451</v>
      </c>
      <c r="F45" s="19">
        <v>21</v>
      </c>
      <c r="G45" s="19">
        <v>5</v>
      </c>
      <c r="H45" s="26">
        <f t="shared" si="2"/>
        <v>2208.5299999999997</v>
      </c>
      <c r="I45" s="24">
        <v>2000</v>
      </c>
    </row>
    <row r="46" spans="1:9" ht="19.5" customHeight="1" x14ac:dyDescent="0.25">
      <c r="A46" s="21">
        <v>43</v>
      </c>
      <c r="B46" s="25" t="s">
        <v>57</v>
      </c>
      <c r="C46" s="19">
        <v>10</v>
      </c>
      <c r="D46" s="20">
        <f>SUM($C$3:C45)+C46/2</f>
        <v>345</v>
      </c>
      <c r="E46" s="20">
        <f t="shared" si="1"/>
        <v>679.83734967318969</v>
      </c>
      <c r="F46" s="19">
        <v>21</v>
      </c>
      <c r="G46" s="19">
        <v>5</v>
      </c>
      <c r="H46" s="26">
        <f t="shared" si="2"/>
        <v>2283.1299999999997</v>
      </c>
      <c r="I46" s="24">
        <v>2000</v>
      </c>
    </row>
    <row r="47" spans="1:9" ht="19.5" customHeight="1" x14ac:dyDescent="0.25">
      <c r="A47" s="21">
        <v>44</v>
      </c>
      <c r="B47" s="25" t="s">
        <v>58</v>
      </c>
      <c r="C47" s="19">
        <v>10</v>
      </c>
      <c r="D47" s="20">
        <f>SUM($C$3:C46)+C47/2</f>
        <v>355</v>
      </c>
      <c r="E47" s="20">
        <f t="shared" si="1"/>
        <v>683.84681619963476</v>
      </c>
      <c r="F47" s="19">
        <v>21</v>
      </c>
      <c r="G47" s="19">
        <v>5</v>
      </c>
      <c r="H47" s="26">
        <f t="shared" si="2"/>
        <v>2357.7299999999996</v>
      </c>
      <c r="I47" s="24">
        <v>2000</v>
      </c>
    </row>
    <row r="48" spans="1:9" ht="19.5" customHeight="1" x14ac:dyDescent="0.25">
      <c r="A48" s="21">
        <v>45</v>
      </c>
      <c r="B48" s="25" t="s">
        <v>59</v>
      </c>
      <c r="C48" s="19">
        <v>10</v>
      </c>
      <c r="D48" s="20">
        <f>SUM($C$3:C47)+C48/2</f>
        <v>365</v>
      </c>
      <c r="E48" s="20">
        <f t="shared" si="1"/>
        <v>687.85628272607994</v>
      </c>
      <c r="F48" s="19">
        <v>21</v>
      </c>
      <c r="G48" s="19">
        <v>5</v>
      </c>
      <c r="H48" s="26">
        <f t="shared" si="2"/>
        <v>2432.33</v>
      </c>
      <c r="I48" s="24">
        <v>2000</v>
      </c>
    </row>
    <row r="49" spans="1:9" ht="19.5" customHeight="1" x14ac:dyDescent="0.25">
      <c r="A49" s="21">
        <v>46</v>
      </c>
      <c r="B49" s="25" t="s">
        <v>60</v>
      </c>
      <c r="C49" s="19">
        <v>10</v>
      </c>
      <c r="D49" s="20">
        <f>SUM($C$3:C48)+C49/2</f>
        <v>375</v>
      </c>
      <c r="E49" s="20">
        <f t="shared" si="1"/>
        <v>691.86574925252501</v>
      </c>
      <c r="F49" s="19">
        <v>21</v>
      </c>
      <c r="G49" s="19">
        <v>5</v>
      </c>
      <c r="H49" s="26">
        <f t="shared" si="2"/>
        <v>2506.9299999999998</v>
      </c>
      <c r="I49" s="26">
        <v>3000</v>
      </c>
    </row>
    <row r="50" spans="1:9" ht="19.5" customHeight="1" x14ac:dyDescent="0.25">
      <c r="A50" s="21">
        <v>47</v>
      </c>
      <c r="B50" s="25" t="s">
        <v>61</v>
      </c>
      <c r="C50" s="19">
        <v>10</v>
      </c>
      <c r="D50" s="20">
        <f>SUM($C$3:C49)+C50/2</f>
        <v>385</v>
      </c>
      <c r="E50" s="20">
        <f t="shared" si="1"/>
        <v>695.87521577897019</v>
      </c>
      <c r="F50" s="19">
        <v>21</v>
      </c>
      <c r="G50" s="19">
        <v>5</v>
      </c>
      <c r="H50" s="26">
        <f t="shared" si="2"/>
        <v>2581.5299999999997</v>
      </c>
      <c r="I50" s="26">
        <v>3000</v>
      </c>
    </row>
    <row r="51" spans="1:9" ht="18.75" customHeight="1" x14ac:dyDescent="0.25">
      <c r="A51" s="21">
        <v>48</v>
      </c>
      <c r="B51" s="25" t="s">
        <v>62</v>
      </c>
      <c r="C51" s="19">
        <v>10</v>
      </c>
      <c r="D51" s="20">
        <f>SUM($C$3:C50)+C51/2</f>
        <v>395</v>
      </c>
      <c r="E51" s="20">
        <f t="shared" si="1"/>
        <v>699.88468230541525</v>
      </c>
      <c r="F51" s="19">
        <v>21</v>
      </c>
      <c r="G51" s="19">
        <v>5</v>
      </c>
      <c r="H51" s="26">
        <f t="shared" si="2"/>
        <v>2656.1299999999997</v>
      </c>
      <c r="I51" s="26">
        <v>3000</v>
      </c>
    </row>
    <row r="52" spans="1:9" ht="18.75" customHeight="1" x14ac:dyDescent="0.25">
      <c r="A52" s="21">
        <v>49</v>
      </c>
      <c r="B52" s="25" t="s">
        <v>63</v>
      </c>
      <c r="C52" s="19">
        <v>10</v>
      </c>
      <c r="D52" s="20">
        <f>SUM($C$3:C51)+C52/2</f>
        <v>405</v>
      </c>
      <c r="E52" s="20">
        <f t="shared" si="1"/>
        <v>703.89414883186032</v>
      </c>
      <c r="F52" s="19">
        <v>21</v>
      </c>
      <c r="G52" s="19">
        <v>5</v>
      </c>
      <c r="H52" s="26">
        <f t="shared" si="2"/>
        <v>2730.7299999999996</v>
      </c>
      <c r="I52" s="26">
        <v>3000</v>
      </c>
    </row>
    <row r="53" spans="1:9" ht="18.75" customHeight="1" x14ac:dyDescent="0.25">
      <c r="A53" s="21">
        <v>50</v>
      </c>
      <c r="B53" s="25" t="s">
        <v>64</v>
      </c>
      <c r="C53" s="19">
        <v>10</v>
      </c>
      <c r="D53" s="20">
        <f>SUM($C$3:C52)+C53/2</f>
        <v>415</v>
      </c>
      <c r="E53" s="20">
        <f t="shared" si="1"/>
        <v>707.9036153583055</v>
      </c>
      <c r="F53" s="19">
        <v>21</v>
      </c>
      <c r="G53" s="19">
        <v>5</v>
      </c>
      <c r="H53" s="26">
        <f t="shared" si="2"/>
        <v>2805.33</v>
      </c>
      <c r="I53" s="26">
        <v>3000</v>
      </c>
    </row>
    <row r="54" spans="1:9" ht="18.75" customHeight="1" x14ac:dyDescent="0.25">
      <c r="A54" s="21">
        <v>51</v>
      </c>
      <c r="B54" s="25" t="s">
        <v>65</v>
      </c>
      <c r="C54" s="19">
        <v>10</v>
      </c>
      <c r="D54" s="20">
        <f>SUM($C$3:C53)+C54/2</f>
        <v>425</v>
      </c>
      <c r="E54" s="20">
        <f t="shared" si="1"/>
        <v>711.91308188475057</v>
      </c>
      <c r="F54" s="19">
        <v>21</v>
      </c>
      <c r="G54" s="19">
        <v>5</v>
      </c>
      <c r="H54" s="26">
        <f t="shared" si="2"/>
        <v>2879.9299999999994</v>
      </c>
      <c r="I54" s="26">
        <v>3000</v>
      </c>
    </row>
    <row r="55" spans="1:9" ht="18.75" customHeight="1" x14ac:dyDescent="0.25">
      <c r="A55" s="21">
        <v>52</v>
      </c>
      <c r="B55" s="25" t="s">
        <v>66</v>
      </c>
      <c r="C55" s="19">
        <v>10</v>
      </c>
      <c r="D55" s="20">
        <f>SUM($C$3:C54)+C55/2</f>
        <v>435</v>
      </c>
      <c r="E55" s="20">
        <f t="shared" si="1"/>
        <v>715.92254841119575</v>
      </c>
      <c r="F55" s="19">
        <v>21</v>
      </c>
      <c r="G55" s="19">
        <v>5</v>
      </c>
      <c r="H55" s="26">
        <f t="shared" si="2"/>
        <v>2954.5299999999997</v>
      </c>
      <c r="I55" s="26">
        <v>3000</v>
      </c>
    </row>
    <row r="56" spans="1:9" ht="18.75" customHeight="1" x14ac:dyDescent="0.25">
      <c r="A56" s="21">
        <v>53</v>
      </c>
      <c r="B56" s="25" t="s">
        <v>67</v>
      </c>
      <c r="C56" s="19">
        <v>10</v>
      </c>
      <c r="D56" s="20">
        <f>SUM($C$3:C55)+C56/2</f>
        <v>445</v>
      </c>
      <c r="E56" s="20">
        <f t="shared" si="1"/>
        <v>719.93201493764082</v>
      </c>
      <c r="F56" s="19">
        <v>21</v>
      </c>
      <c r="G56" s="19">
        <v>5</v>
      </c>
      <c r="H56" s="26">
        <f t="shared" si="2"/>
        <v>3029.1299999999997</v>
      </c>
      <c r="I56" s="26">
        <v>3000</v>
      </c>
    </row>
    <row r="57" spans="1:9" ht="18.75" customHeight="1" x14ac:dyDescent="0.25">
      <c r="A57" s="21">
        <v>54</v>
      </c>
      <c r="B57" s="25" t="s">
        <v>68</v>
      </c>
      <c r="C57" s="19">
        <v>10</v>
      </c>
      <c r="D57" s="20">
        <f>SUM($C$3:C56)+C57/2</f>
        <v>455</v>
      </c>
      <c r="E57" s="20">
        <f t="shared" si="1"/>
        <v>723.94148146408588</v>
      </c>
      <c r="F57" s="19">
        <v>21</v>
      </c>
      <c r="G57" s="19">
        <v>5</v>
      </c>
      <c r="H57" s="26">
        <f t="shared" si="2"/>
        <v>3103.7299999999996</v>
      </c>
      <c r="I57" s="26">
        <v>3000</v>
      </c>
    </row>
    <row r="58" spans="1:9" ht="18.75" customHeight="1" x14ac:dyDescent="0.25">
      <c r="A58" s="21">
        <v>55</v>
      </c>
      <c r="B58" s="25" t="s">
        <v>69</v>
      </c>
      <c r="C58" s="19">
        <v>10</v>
      </c>
      <c r="D58" s="20">
        <f>SUM($C$3:C57)+C58/2</f>
        <v>465</v>
      </c>
      <c r="E58" s="20">
        <f t="shared" si="1"/>
        <v>727.95094799053106</v>
      </c>
      <c r="F58" s="19">
        <v>21</v>
      </c>
      <c r="G58" s="19">
        <v>5</v>
      </c>
      <c r="H58" s="26">
        <f t="shared" si="2"/>
        <v>3178.33</v>
      </c>
      <c r="I58" s="26">
        <v>3000</v>
      </c>
    </row>
    <row r="59" spans="1:9" ht="18.75" customHeight="1" x14ac:dyDescent="0.25">
      <c r="A59" s="21">
        <v>56</v>
      </c>
      <c r="B59" s="25" t="s">
        <v>70</v>
      </c>
      <c r="C59" s="19">
        <v>10</v>
      </c>
      <c r="D59" s="20">
        <f>SUM($C$3:C58)+C59/2</f>
        <v>475</v>
      </c>
      <c r="E59" s="20">
        <f t="shared" si="1"/>
        <v>731.96041451697613</v>
      </c>
      <c r="F59" s="19">
        <v>21</v>
      </c>
      <c r="G59" s="19">
        <v>5</v>
      </c>
      <c r="H59" s="26">
        <f t="shared" si="2"/>
        <v>3252.9299999999994</v>
      </c>
      <c r="I59" s="26">
        <v>3000</v>
      </c>
    </row>
    <row r="60" spans="1:9" ht="18.75" customHeight="1" x14ac:dyDescent="0.25">
      <c r="A60" s="21">
        <v>57</v>
      </c>
      <c r="B60" s="25" t="s">
        <v>71</v>
      </c>
      <c r="C60" s="19">
        <v>10</v>
      </c>
      <c r="D60" s="20">
        <f>SUM($C$3:C59)+C60/2</f>
        <v>485</v>
      </c>
      <c r="E60" s="20">
        <f t="shared" si="1"/>
        <v>735.96988104342131</v>
      </c>
      <c r="F60" s="19">
        <v>21</v>
      </c>
      <c r="G60" s="19">
        <v>5</v>
      </c>
      <c r="H60" s="26">
        <f t="shared" si="2"/>
        <v>3327.5299999999997</v>
      </c>
      <c r="I60" s="26">
        <v>3000</v>
      </c>
    </row>
    <row r="61" spans="1:9" ht="18.75" customHeight="1" x14ac:dyDescent="0.25">
      <c r="A61" s="21">
        <v>58</v>
      </c>
      <c r="B61" s="25" t="s">
        <v>72</v>
      </c>
      <c r="C61" s="19">
        <v>10</v>
      </c>
      <c r="D61" s="20">
        <f>SUM($C$3:C60)+C61/2</f>
        <v>495</v>
      </c>
      <c r="E61" s="20">
        <f t="shared" si="1"/>
        <v>739.97934756986638</v>
      </c>
      <c r="F61" s="19">
        <v>21</v>
      </c>
      <c r="G61" s="19">
        <v>5</v>
      </c>
      <c r="H61" s="26">
        <f t="shared" si="2"/>
        <v>3402.1299999999997</v>
      </c>
      <c r="I61" s="26">
        <v>3000</v>
      </c>
    </row>
    <row r="62" spans="1:9" ht="18.75" customHeight="1" x14ac:dyDescent="0.25">
      <c r="A62" s="21">
        <v>59</v>
      </c>
      <c r="B62" s="25" t="s">
        <v>73</v>
      </c>
      <c r="C62" s="19">
        <v>10</v>
      </c>
      <c r="D62" s="20">
        <f>SUM($C$3:C61)+C62/2</f>
        <v>505</v>
      </c>
      <c r="E62" s="20">
        <f t="shared" si="1"/>
        <v>743.98881409631156</v>
      </c>
      <c r="F62" s="19">
        <v>21</v>
      </c>
      <c r="G62" s="19">
        <v>5</v>
      </c>
      <c r="H62" s="26">
        <f t="shared" si="2"/>
        <v>3476.7299999999996</v>
      </c>
      <c r="I62" s="26">
        <v>3000</v>
      </c>
    </row>
    <row r="63" spans="1:9" ht="18.75" customHeight="1" x14ac:dyDescent="0.25">
      <c r="A63" s="21">
        <v>60</v>
      </c>
      <c r="B63" s="25" t="s">
        <v>74</v>
      </c>
      <c r="C63" s="19">
        <v>10</v>
      </c>
      <c r="D63" s="20">
        <f>SUM($C$3:C62)+C63/2</f>
        <v>515</v>
      </c>
      <c r="E63" s="20">
        <f t="shared" si="1"/>
        <v>747.99828062275662</v>
      </c>
      <c r="F63" s="19">
        <v>21</v>
      </c>
      <c r="G63" s="19">
        <v>5</v>
      </c>
      <c r="H63" s="26">
        <f t="shared" si="2"/>
        <v>3551.33</v>
      </c>
      <c r="I63" s="26">
        <v>4000</v>
      </c>
    </row>
    <row r="64" spans="1:9" ht="18.75" customHeight="1" x14ac:dyDescent="0.25">
      <c r="A64" s="21">
        <v>61</v>
      </c>
      <c r="B64" s="25" t="s">
        <v>75</v>
      </c>
      <c r="C64" s="19">
        <v>10</v>
      </c>
      <c r="D64" s="20">
        <f>SUM($C$3:C63)+C64/2</f>
        <v>525</v>
      </c>
      <c r="E64" s="20">
        <f t="shared" si="1"/>
        <v>752.0077471492018</v>
      </c>
      <c r="F64" s="19">
        <v>21</v>
      </c>
      <c r="G64" s="19">
        <v>5</v>
      </c>
      <c r="H64" s="26">
        <f t="shared" si="2"/>
        <v>3625.9299999999994</v>
      </c>
      <c r="I64" s="26">
        <v>4000</v>
      </c>
    </row>
    <row r="65" spans="1:9" ht="18.75" customHeight="1" x14ac:dyDescent="0.25">
      <c r="A65" s="21">
        <v>62</v>
      </c>
      <c r="B65" s="25" t="s">
        <v>76</v>
      </c>
      <c r="C65" s="19">
        <v>10</v>
      </c>
      <c r="D65" s="20">
        <f>SUM($C$3:C64)+C65/2</f>
        <v>535</v>
      </c>
      <c r="E65" s="20">
        <f t="shared" si="1"/>
        <v>756.01721367564687</v>
      </c>
      <c r="F65" s="19">
        <v>21</v>
      </c>
      <c r="G65" s="19">
        <v>5</v>
      </c>
      <c r="H65" s="26">
        <f t="shared" si="2"/>
        <v>3700.5299999999997</v>
      </c>
      <c r="I65" s="26">
        <v>4000</v>
      </c>
    </row>
    <row r="66" spans="1:9" ht="18.75" customHeight="1" x14ac:dyDescent="0.25">
      <c r="A66" s="21">
        <v>63</v>
      </c>
      <c r="B66" s="25" t="s">
        <v>77</v>
      </c>
      <c r="C66" s="19">
        <v>10</v>
      </c>
      <c r="D66" s="20">
        <f>SUM($C$3:C65)+C66/2</f>
        <v>545</v>
      </c>
      <c r="E66" s="20">
        <f t="shared" si="1"/>
        <v>760.02668020209194</v>
      </c>
      <c r="F66" s="19">
        <v>21</v>
      </c>
      <c r="G66" s="19">
        <v>5</v>
      </c>
      <c r="H66" s="26">
        <f t="shared" si="2"/>
        <v>3775.1299999999997</v>
      </c>
      <c r="I66" s="26">
        <v>4000</v>
      </c>
    </row>
    <row r="67" spans="1:9" ht="18.75" customHeight="1" x14ac:dyDescent="0.25">
      <c r="A67" s="21">
        <v>64</v>
      </c>
      <c r="B67" s="25" t="s">
        <v>78</v>
      </c>
      <c r="C67" s="19">
        <v>10</v>
      </c>
      <c r="D67" s="20">
        <f>SUM($C$3:C66)+C67/2</f>
        <v>555</v>
      </c>
      <c r="E67" s="20">
        <f t="shared" si="1"/>
        <v>764.03614672853712</v>
      </c>
      <c r="F67" s="19">
        <v>21</v>
      </c>
      <c r="G67" s="19">
        <v>5</v>
      </c>
      <c r="H67" s="26">
        <f t="shared" si="2"/>
        <v>3849.7299999999996</v>
      </c>
      <c r="I67" s="26">
        <v>4000</v>
      </c>
    </row>
    <row r="68" spans="1:9" ht="18.75" customHeight="1" x14ac:dyDescent="0.25">
      <c r="A68" s="21">
        <v>65</v>
      </c>
      <c r="B68" s="25" t="s">
        <v>79</v>
      </c>
      <c r="C68" s="19">
        <v>10</v>
      </c>
      <c r="D68" s="20">
        <f>SUM($C$3:C67)+C68/2</f>
        <v>565</v>
      </c>
      <c r="E68" s="20">
        <f t="shared" si="1"/>
        <v>768.04561325498219</v>
      </c>
      <c r="F68" s="19">
        <v>21</v>
      </c>
      <c r="G68" s="19">
        <v>5</v>
      </c>
      <c r="H68" s="26">
        <f t="shared" si="2"/>
        <v>3924.33</v>
      </c>
      <c r="I68" s="26">
        <v>4000</v>
      </c>
    </row>
    <row r="69" spans="1:9" ht="18.75" customHeight="1" x14ac:dyDescent="0.25">
      <c r="A69" s="21">
        <v>66</v>
      </c>
      <c r="B69" s="25" t="s">
        <v>80</v>
      </c>
      <c r="C69" s="19">
        <v>10</v>
      </c>
      <c r="D69" s="20">
        <f>SUM($C$3:C68)+C69/2</f>
        <v>575</v>
      </c>
      <c r="E69" s="20">
        <f t="shared" si="1"/>
        <v>772.05507978142737</v>
      </c>
      <c r="F69" s="19">
        <v>21</v>
      </c>
      <c r="G69" s="19">
        <v>5</v>
      </c>
      <c r="H69" s="26">
        <f t="shared" si="2"/>
        <v>3998.9299999999994</v>
      </c>
      <c r="I69" s="26">
        <v>4000</v>
      </c>
    </row>
    <row r="70" spans="1:9" ht="18.75" customHeight="1" x14ac:dyDescent="0.25">
      <c r="A70" s="21">
        <v>67</v>
      </c>
      <c r="B70" s="25" t="s">
        <v>81</v>
      </c>
      <c r="C70" s="19">
        <v>10</v>
      </c>
      <c r="D70" s="20">
        <f>SUM($C$3:C69)+C70/2</f>
        <v>585</v>
      </c>
      <c r="E70" s="20">
        <f t="shared" si="1"/>
        <v>776.06454630787243</v>
      </c>
      <c r="F70" s="19">
        <v>21</v>
      </c>
      <c r="G70" s="19">
        <v>5</v>
      </c>
      <c r="H70" s="26">
        <f t="shared" si="2"/>
        <v>4073.5299999999997</v>
      </c>
      <c r="I70" s="26">
        <v>4000</v>
      </c>
    </row>
    <row r="71" spans="1:9" ht="18.75" customHeight="1" x14ac:dyDescent="0.25">
      <c r="A71" s="21">
        <v>68</v>
      </c>
      <c r="B71" s="25" t="s">
        <v>82</v>
      </c>
      <c r="C71" s="19">
        <v>10</v>
      </c>
      <c r="D71" s="20">
        <f>SUM($C$3:C70)+C71/2</f>
        <v>595</v>
      </c>
      <c r="E71" s="20">
        <f t="shared" si="1"/>
        <v>780.07401283431761</v>
      </c>
      <c r="F71" s="19">
        <v>21</v>
      </c>
      <c r="G71" s="19">
        <v>5</v>
      </c>
      <c r="H71" s="26">
        <f t="shared" si="2"/>
        <v>4148.1299999999992</v>
      </c>
      <c r="I71" s="26">
        <v>4000</v>
      </c>
    </row>
    <row r="72" spans="1:9" ht="18.75" customHeight="1" x14ac:dyDescent="0.25">
      <c r="A72" s="21">
        <v>69</v>
      </c>
      <c r="B72" s="25" t="s">
        <v>83</v>
      </c>
      <c r="C72" s="19">
        <v>10</v>
      </c>
      <c r="D72" s="20">
        <f>SUM($C$3:C71)+C72/2</f>
        <v>605</v>
      </c>
      <c r="E72" s="20">
        <f t="shared" si="1"/>
        <v>784.08347936076268</v>
      </c>
      <c r="F72" s="19">
        <v>21</v>
      </c>
      <c r="G72" s="19">
        <v>5</v>
      </c>
      <c r="H72" s="26">
        <f t="shared" si="2"/>
        <v>4222.7299999999996</v>
      </c>
      <c r="I72" s="26">
        <v>4000</v>
      </c>
    </row>
    <row r="73" spans="1:9" ht="18.75" customHeight="1" x14ac:dyDescent="0.25">
      <c r="A73" s="21">
        <v>70</v>
      </c>
      <c r="B73" s="25" t="s">
        <v>84</v>
      </c>
      <c r="C73" s="19">
        <v>10</v>
      </c>
      <c r="D73" s="20">
        <f>SUM($C$3:C72)+C73/2</f>
        <v>615</v>
      </c>
      <c r="E73" s="20">
        <f t="shared" si="1"/>
        <v>788.09294588720786</v>
      </c>
      <c r="F73" s="19">
        <v>21</v>
      </c>
      <c r="G73" s="19">
        <v>5</v>
      </c>
      <c r="H73" s="26">
        <f t="shared" si="2"/>
        <v>4297.33</v>
      </c>
      <c r="I73" s="26">
        <v>4000</v>
      </c>
    </row>
    <row r="74" spans="1:9" ht="18.75" customHeight="1" x14ac:dyDescent="0.25">
      <c r="A74" s="21">
        <v>71</v>
      </c>
      <c r="B74" s="25" t="s">
        <v>85</v>
      </c>
      <c r="C74" s="19">
        <v>10</v>
      </c>
      <c r="D74" s="20">
        <f>SUM($C$3:C73)+C74/2</f>
        <v>625</v>
      </c>
      <c r="E74" s="20">
        <f t="shared" si="1"/>
        <v>792.10241241365293</v>
      </c>
      <c r="F74" s="19">
        <v>21</v>
      </c>
      <c r="G74" s="19">
        <v>5</v>
      </c>
      <c r="H74" s="26">
        <f t="shared" si="2"/>
        <v>4371.9299999999994</v>
      </c>
      <c r="I74" s="26">
        <v>4000</v>
      </c>
    </row>
    <row r="75" spans="1:9" ht="18.75" customHeight="1" x14ac:dyDescent="0.25">
      <c r="A75" s="21">
        <v>72</v>
      </c>
      <c r="B75" s="25" t="s">
        <v>86</v>
      </c>
      <c r="C75" s="19">
        <v>10</v>
      </c>
      <c r="D75" s="20">
        <f>SUM($C$3:C74)+C75/2</f>
        <v>635</v>
      </c>
      <c r="E75" s="20">
        <f t="shared" si="1"/>
        <v>796.11187894009799</v>
      </c>
      <c r="F75" s="19">
        <v>21</v>
      </c>
      <c r="G75" s="19">
        <v>5</v>
      </c>
      <c r="H75" s="26">
        <f t="shared" si="2"/>
        <v>4446.53</v>
      </c>
      <c r="I75" s="26">
        <v>4000</v>
      </c>
    </row>
    <row r="76" spans="1:9" ht="18.75" customHeight="1" x14ac:dyDescent="0.25">
      <c r="A76" s="21">
        <v>73</v>
      </c>
      <c r="B76" s="25" t="s">
        <v>87</v>
      </c>
      <c r="C76" s="19">
        <v>10</v>
      </c>
      <c r="D76" s="20">
        <f>SUM($C$3:C75)+C76/2</f>
        <v>645</v>
      </c>
      <c r="E76" s="20">
        <f t="shared" si="1"/>
        <v>800.12134546654318</v>
      </c>
      <c r="F76" s="19">
        <v>21</v>
      </c>
      <c r="G76" s="19">
        <v>5</v>
      </c>
      <c r="H76" s="26">
        <f t="shared" si="2"/>
        <v>4521.1299999999992</v>
      </c>
      <c r="I76" s="26">
        <f t="shared" ref="I76:I82" si="3">ROUND(H76, -3)</f>
        <v>5000</v>
      </c>
    </row>
    <row r="77" spans="1:9" ht="18.75" customHeight="1" x14ac:dyDescent="0.25">
      <c r="A77" s="21">
        <v>74</v>
      </c>
      <c r="B77" s="25" t="s">
        <v>88</v>
      </c>
      <c r="C77" s="19">
        <v>10</v>
      </c>
      <c r="D77" s="20">
        <f>SUM($C$3:C76)+C77/2</f>
        <v>655</v>
      </c>
      <c r="E77" s="20">
        <f t="shared" si="1"/>
        <v>804.13081199298824</v>
      </c>
      <c r="F77" s="19">
        <v>21</v>
      </c>
      <c r="G77" s="19">
        <v>5</v>
      </c>
      <c r="H77" s="26">
        <f t="shared" si="2"/>
        <v>4595.7299999999996</v>
      </c>
      <c r="I77" s="26">
        <f t="shared" si="3"/>
        <v>5000</v>
      </c>
    </row>
    <row r="78" spans="1:9" ht="18.75" customHeight="1" x14ac:dyDescent="0.25">
      <c r="A78" s="21">
        <v>75</v>
      </c>
      <c r="B78" s="25" t="s">
        <v>89</v>
      </c>
      <c r="C78" s="19">
        <v>10</v>
      </c>
      <c r="D78" s="20">
        <f>SUM($C$3:C77)+C78/2</f>
        <v>665</v>
      </c>
      <c r="E78" s="20">
        <f t="shared" si="1"/>
        <v>808.14027851943342</v>
      </c>
      <c r="F78" s="19">
        <v>21</v>
      </c>
      <c r="G78" s="19">
        <v>5</v>
      </c>
      <c r="H78" s="26">
        <f t="shared" si="2"/>
        <v>4670.33</v>
      </c>
      <c r="I78" s="26">
        <f t="shared" si="3"/>
        <v>5000</v>
      </c>
    </row>
    <row r="79" spans="1:9" ht="18.75" customHeight="1" x14ac:dyDescent="0.25">
      <c r="A79" s="21">
        <v>76</v>
      </c>
      <c r="B79" s="25" t="s">
        <v>90</v>
      </c>
      <c r="C79" s="19">
        <v>10</v>
      </c>
      <c r="D79" s="20">
        <f>SUM($C$3:C78)+C79/2</f>
        <v>675</v>
      </c>
      <c r="E79" s="20">
        <f t="shared" si="1"/>
        <v>812.14974504587849</v>
      </c>
      <c r="F79" s="19">
        <v>21</v>
      </c>
      <c r="G79" s="19">
        <v>5</v>
      </c>
      <c r="H79" s="26">
        <f t="shared" si="2"/>
        <v>4744.9299999999994</v>
      </c>
      <c r="I79" s="26">
        <f t="shared" si="3"/>
        <v>5000</v>
      </c>
    </row>
    <row r="80" spans="1:9" ht="18.75" customHeight="1" x14ac:dyDescent="0.25">
      <c r="A80" s="21">
        <v>77</v>
      </c>
      <c r="B80" s="25" t="s">
        <v>91</v>
      </c>
      <c r="C80" s="19">
        <v>10</v>
      </c>
      <c r="D80" s="20">
        <f>SUM($C$3:C79)+C80/2</f>
        <v>685</v>
      </c>
      <c r="E80" s="20">
        <f t="shared" si="1"/>
        <v>816.15921157232356</v>
      </c>
      <c r="F80" s="19">
        <v>21</v>
      </c>
      <c r="G80" s="19">
        <v>5</v>
      </c>
      <c r="H80" s="26">
        <f t="shared" si="2"/>
        <v>4819.53</v>
      </c>
      <c r="I80" s="26">
        <f t="shared" si="3"/>
        <v>5000</v>
      </c>
    </row>
    <row r="81" spans="1:9" ht="18.75" customHeight="1" x14ac:dyDescent="0.25">
      <c r="A81" s="21">
        <v>78</v>
      </c>
      <c r="B81" s="25" t="s">
        <v>92</v>
      </c>
      <c r="C81" s="19">
        <v>10</v>
      </c>
      <c r="D81" s="20">
        <f>SUM($C$3:C80)+C81/2</f>
        <v>695</v>
      </c>
      <c r="E81" s="20">
        <f t="shared" si="1"/>
        <v>820.16867809876874</v>
      </c>
      <c r="F81" s="19">
        <v>21</v>
      </c>
      <c r="G81" s="19">
        <v>5</v>
      </c>
      <c r="H81" s="26">
        <f t="shared" si="2"/>
        <v>4894.1299999999992</v>
      </c>
      <c r="I81" s="26">
        <f t="shared" si="3"/>
        <v>5000</v>
      </c>
    </row>
    <row r="82" spans="1:9" ht="18.75" customHeight="1" x14ac:dyDescent="0.25">
      <c r="A82" s="21">
        <v>79</v>
      </c>
      <c r="B82" s="25" t="s">
        <v>93</v>
      </c>
      <c r="C82" s="19">
        <v>10</v>
      </c>
      <c r="D82" s="20">
        <f>SUM($C$3:C81)+C82/2</f>
        <v>705</v>
      </c>
      <c r="E82" s="20">
        <f t="shared" si="1"/>
        <v>824.17814462521392</v>
      </c>
      <c r="F82" s="19">
        <v>21</v>
      </c>
      <c r="G82" s="19">
        <v>5</v>
      </c>
      <c r="H82" s="26">
        <f t="shared" si="2"/>
        <v>4968.7299999999996</v>
      </c>
      <c r="I82" s="26">
        <f t="shared" si="3"/>
        <v>5000</v>
      </c>
    </row>
    <row r="83" spans="1:9" ht="18.75" customHeight="1" x14ac:dyDescent="0.25">
      <c r="A83" s="21">
        <v>80</v>
      </c>
      <c r="B83" s="25" t="s">
        <v>94</v>
      </c>
      <c r="C83" s="19">
        <v>10</v>
      </c>
      <c r="D83" s="20">
        <f>SUM($C$3:C82)+C83/2</f>
        <v>715</v>
      </c>
      <c r="E83" s="20">
        <f t="shared" si="1"/>
        <v>828.18761115165898</v>
      </c>
      <c r="F83" s="19">
        <v>21</v>
      </c>
      <c r="G83" s="19">
        <v>5</v>
      </c>
      <c r="H83" s="26">
        <f t="shared" si="2"/>
        <v>5043.33</v>
      </c>
      <c r="I83" s="26">
        <f t="shared" ref="I83:I146" si="4">ROUND(H83, -4)</f>
        <v>10000</v>
      </c>
    </row>
    <row r="84" spans="1:9" ht="18.75" customHeight="1" x14ac:dyDescent="0.25">
      <c r="A84" s="21">
        <v>81</v>
      </c>
      <c r="B84" s="25" t="s">
        <v>95</v>
      </c>
      <c r="C84" s="19">
        <v>10</v>
      </c>
      <c r="D84" s="20">
        <f>SUM($C$3:C83)+C84/2</f>
        <v>725</v>
      </c>
      <c r="E84" s="20">
        <f t="shared" si="1"/>
        <v>832.19707767810405</v>
      </c>
      <c r="F84" s="19">
        <v>21</v>
      </c>
      <c r="G84" s="19">
        <v>5</v>
      </c>
      <c r="H84" s="26">
        <f t="shared" si="2"/>
        <v>5117.9299999999994</v>
      </c>
      <c r="I84" s="26">
        <f t="shared" si="4"/>
        <v>10000</v>
      </c>
    </row>
    <row r="85" spans="1:9" ht="18.75" customHeight="1" x14ac:dyDescent="0.25">
      <c r="A85" s="21">
        <v>82</v>
      </c>
      <c r="B85" s="25" t="s">
        <v>96</v>
      </c>
      <c r="C85" s="19">
        <v>10</v>
      </c>
      <c r="D85" s="20">
        <f>SUM($C$3:C84)+C85/2</f>
        <v>735</v>
      </c>
      <c r="E85" s="20">
        <f t="shared" si="1"/>
        <v>836.20654420454923</v>
      </c>
      <c r="F85" s="19">
        <v>21</v>
      </c>
      <c r="G85" s="19">
        <v>5</v>
      </c>
      <c r="H85" s="26">
        <f t="shared" si="2"/>
        <v>5192.53</v>
      </c>
      <c r="I85" s="26">
        <f t="shared" si="4"/>
        <v>10000</v>
      </c>
    </row>
    <row r="86" spans="1:9" ht="18.75" customHeight="1" x14ac:dyDescent="0.25">
      <c r="A86" s="21">
        <v>83</v>
      </c>
      <c r="B86" s="25" t="s">
        <v>97</v>
      </c>
      <c r="C86" s="19">
        <v>10</v>
      </c>
      <c r="D86" s="20">
        <f>SUM($C$3:C85)+C86/2</f>
        <v>745</v>
      </c>
      <c r="E86" s="20">
        <f t="shared" si="1"/>
        <v>840.2160107309943</v>
      </c>
      <c r="F86" s="19">
        <v>21</v>
      </c>
      <c r="G86" s="19">
        <v>5</v>
      </c>
      <c r="H86" s="26">
        <f t="shared" si="2"/>
        <v>5267.1299999999992</v>
      </c>
      <c r="I86" s="26">
        <f t="shared" si="4"/>
        <v>10000</v>
      </c>
    </row>
    <row r="87" spans="1:9" ht="18.75" customHeight="1" x14ac:dyDescent="0.25">
      <c r="A87" s="21">
        <v>84</v>
      </c>
      <c r="B87" s="25" t="s">
        <v>98</v>
      </c>
      <c r="C87" s="19">
        <v>10</v>
      </c>
      <c r="D87" s="20">
        <f>SUM($C$3:C86)+C87/2</f>
        <v>755</v>
      </c>
      <c r="E87" s="20">
        <f t="shared" si="1"/>
        <v>844.22547725743948</v>
      </c>
      <c r="F87" s="19">
        <v>21</v>
      </c>
      <c r="G87" s="19">
        <v>5</v>
      </c>
      <c r="H87" s="26">
        <f t="shared" si="2"/>
        <v>5341.73</v>
      </c>
      <c r="I87" s="26">
        <f t="shared" si="4"/>
        <v>10000</v>
      </c>
    </row>
    <row r="88" spans="1:9" ht="18.75" customHeight="1" x14ac:dyDescent="0.25">
      <c r="A88" s="21">
        <v>85</v>
      </c>
      <c r="B88" s="25" t="s">
        <v>99</v>
      </c>
      <c r="C88" s="19">
        <v>10</v>
      </c>
      <c r="D88" s="20">
        <f>SUM($C$3:C87)+C88/2</f>
        <v>765</v>
      </c>
      <c r="E88" s="20">
        <f t="shared" si="1"/>
        <v>848.23494378388455</v>
      </c>
      <c r="F88" s="19">
        <v>21</v>
      </c>
      <c r="G88" s="19">
        <v>5</v>
      </c>
      <c r="H88" s="26">
        <f t="shared" si="2"/>
        <v>5416.33</v>
      </c>
      <c r="I88" s="26">
        <f t="shared" si="4"/>
        <v>10000</v>
      </c>
    </row>
    <row r="89" spans="1:9" ht="18.75" customHeight="1" x14ac:dyDescent="0.25">
      <c r="A89" s="21">
        <v>86</v>
      </c>
      <c r="B89" s="25" t="s">
        <v>100</v>
      </c>
      <c r="C89" s="19">
        <v>10</v>
      </c>
      <c r="D89" s="20">
        <f>SUM($C$3:C88)+C89/2</f>
        <v>775</v>
      </c>
      <c r="E89" s="20">
        <f t="shared" si="1"/>
        <v>852.24441031032961</v>
      </c>
      <c r="F89" s="19">
        <v>21</v>
      </c>
      <c r="G89" s="19">
        <v>5</v>
      </c>
      <c r="H89" s="26">
        <f t="shared" si="2"/>
        <v>5490.93</v>
      </c>
      <c r="I89" s="26">
        <f t="shared" si="4"/>
        <v>10000</v>
      </c>
    </row>
    <row r="90" spans="1:9" ht="18.75" customHeight="1" x14ac:dyDescent="0.25">
      <c r="A90" s="21">
        <v>87</v>
      </c>
      <c r="B90" s="25" t="s">
        <v>101</v>
      </c>
      <c r="C90" s="19">
        <v>10</v>
      </c>
      <c r="D90" s="20">
        <f>SUM($C$3:C89)+C90/2</f>
        <v>785</v>
      </c>
      <c r="E90" s="20">
        <f t="shared" si="1"/>
        <v>856.25387683677479</v>
      </c>
      <c r="F90" s="19">
        <v>21</v>
      </c>
      <c r="G90" s="19">
        <v>5</v>
      </c>
      <c r="H90" s="26">
        <f t="shared" si="2"/>
        <v>5565.5299999999988</v>
      </c>
      <c r="I90" s="26">
        <f t="shared" si="4"/>
        <v>10000</v>
      </c>
    </row>
    <row r="91" spans="1:9" ht="18.75" customHeight="1" x14ac:dyDescent="0.25">
      <c r="A91" s="21">
        <v>88</v>
      </c>
      <c r="B91" s="25" t="s">
        <v>102</v>
      </c>
      <c r="C91" s="19">
        <v>10</v>
      </c>
      <c r="D91" s="20">
        <f>SUM($C$3:C90)+C91/2</f>
        <v>795</v>
      </c>
      <c r="E91" s="20">
        <f t="shared" si="1"/>
        <v>860.26334336321986</v>
      </c>
      <c r="F91" s="19">
        <v>21</v>
      </c>
      <c r="G91" s="19">
        <v>5</v>
      </c>
      <c r="H91" s="26">
        <f t="shared" si="2"/>
        <v>5640.1299999999992</v>
      </c>
      <c r="I91" s="26">
        <f t="shared" si="4"/>
        <v>10000</v>
      </c>
    </row>
    <row r="92" spans="1:9" ht="18.75" customHeight="1" x14ac:dyDescent="0.25">
      <c r="A92" s="21">
        <v>89</v>
      </c>
      <c r="B92" s="25" t="s">
        <v>103</v>
      </c>
      <c r="C92" s="19">
        <v>10</v>
      </c>
      <c r="D92" s="20">
        <f>SUM($C$3:C91)+C92/2</f>
        <v>805</v>
      </c>
      <c r="E92" s="20">
        <f t="shared" si="1"/>
        <v>864.27280988966504</v>
      </c>
      <c r="F92" s="19">
        <v>21</v>
      </c>
      <c r="G92" s="19">
        <v>5</v>
      </c>
      <c r="H92" s="26">
        <f t="shared" si="2"/>
        <v>5714.73</v>
      </c>
      <c r="I92" s="26">
        <f t="shared" si="4"/>
        <v>10000</v>
      </c>
    </row>
    <row r="93" spans="1:9" ht="18.75" customHeight="1" x14ac:dyDescent="0.25">
      <c r="A93" s="21">
        <v>90</v>
      </c>
      <c r="B93" s="25" t="s">
        <v>104</v>
      </c>
      <c r="C93" s="19">
        <v>10</v>
      </c>
      <c r="D93" s="20">
        <f>SUM($C$3:C92)+C93/2</f>
        <v>815</v>
      </c>
      <c r="E93" s="20">
        <f t="shared" si="1"/>
        <v>868.28227641611011</v>
      </c>
      <c r="F93" s="19">
        <v>21</v>
      </c>
      <c r="G93" s="19">
        <v>5</v>
      </c>
      <c r="H93" s="26">
        <f t="shared" si="2"/>
        <v>5789.329999999999</v>
      </c>
      <c r="I93" s="26">
        <f t="shared" si="4"/>
        <v>10000</v>
      </c>
    </row>
    <row r="94" spans="1:9" ht="18.75" customHeight="1" x14ac:dyDescent="0.25">
      <c r="A94" s="21">
        <v>91</v>
      </c>
      <c r="B94" s="25" t="s">
        <v>105</v>
      </c>
      <c r="C94" s="19">
        <v>10</v>
      </c>
      <c r="D94" s="20">
        <f>SUM($C$3:C93)+C94/2</f>
        <v>825</v>
      </c>
      <c r="E94" s="20">
        <f t="shared" si="1"/>
        <v>872.29174294255529</v>
      </c>
      <c r="F94" s="19">
        <v>21</v>
      </c>
      <c r="G94" s="19">
        <v>5</v>
      </c>
      <c r="H94" s="26">
        <f t="shared" si="2"/>
        <v>5863.93</v>
      </c>
      <c r="I94" s="26">
        <f t="shared" si="4"/>
        <v>10000</v>
      </c>
    </row>
    <row r="95" spans="1:9" ht="18.75" customHeight="1" x14ac:dyDescent="0.25">
      <c r="A95" s="21">
        <v>92</v>
      </c>
      <c r="B95" s="25" t="s">
        <v>106</v>
      </c>
      <c r="C95" s="19">
        <v>10</v>
      </c>
      <c r="D95" s="20">
        <f>SUM($C$3:C94)+C95/2</f>
        <v>835</v>
      </c>
      <c r="E95" s="20">
        <f t="shared" si="1"/>
        <v>876.30120946900036</v>
      </c>
      <c r="F95" s="19">
        <v>21</v>
      </c>
      <c r="G95" s="19">
        <v>5</v>
      </c>
      <c r="H95" s="26">
        <f t="shared" si="2"/>
        <v>5938.5299999999988</v>
      </c>
      <c r="I95" s="26">
        <f t="shared" si="4"/>
        <v>10000</v>
      </c>
    </row>
    <row r="96" spans="1:9" ht="18.75" customHeight="1" x14ac:dyDescent="0.25">
      <c r="A96" s="21">
        <v>93</v>
      </c>
      <c r="B96" s="25" t="s">
        <v>107</v>
      </c>
      <c r="C96" s="19">
        <v>10</v>
      </c>
      <c r="D96" s="20">
        <f>SUM($C$3:C95)+C96/2</f>
        <v>845</v>
      </c>
      <c r="E96" s="20">
        <f t="shared" si="1"/>
        <v>880.31067599544554</v>
      </c>
      <c r="F96" s="19">
        <v>21</v>
      </c>
      <c r="G96" s="19">
        <v>5</v>
      </c>
      <c r="H96" s="26">
        <f t="shared" si="2"/>
        <v>6013.1299999999992</v>
      </c>
      <c r="I96" s="26">
        <f t="shared" si="4"/>
        <v>10000</v>
      </c>
    </row>
    <row r="97" spans="1:9" ht="18.75" customHeight="1" x14ac:dyDescent="0.25">
      <c r="A97" s="21">
        <v>94</v>
      </c>
      <c r="B97" s="25" t="s">
        <v>108</v>
      </c>
      <c r="C97" s="19">
        <v>10</v>
      </c>
      <c r="D97" s="20">
        <f>SUM($C$3:C96)+C97/2</f>
        <v>855</v>
      </c>
      <c r="E97" s="20">
        <f t="shared" si="1"/>
        <v>884.3201425218906</v>
      </c>
      <c r="F97" s="19">
        <v>21</v>
      </c>
      <c r="G97" s="19">
        <v>5</v>
      </c>
      <c r="H97" s="26">
        <f t="shared" si="2"/>
        <v>6087.73</v>
      </c>
      <c r="I97" s="26">
        <f t="shared" si="4"/>
        <v>10000</v>
      </c>
    </row>
    <row r="98" spans="1:9" ht="18.75" customHeight="1" x14ac:dyDescent="0.25">
      <c r="A98" s="21">
        <v>95</v>
      </c>
      <c r="B98" s="25" t="s">
        <v>109</v>
      </c>
      <c r="C98" s="19">
        <v>10</v>
      </c>
      <c r="D98" s="20">
        <f>SUM($C$3:C97)+C98/2</f>
        <v>865</v>
      </c>
      <c r="E98" s="20">
        <f t="shared" si="1"/>
        <v>888.32960904833567</v>
      </c>
      <c r="F98" s="19">
        <v>21</v>
      </c>
      <c r="G98" s="19">
        <v>5</v>
      </c>
      <c r="H98" s="26">
        <f t="shared" si="2"/>
        <v>6162.329999999999</v>
      </c>
      <c r="I98" s="26">
        <f t="shared" si="4"/>
        <v>10000</v>
      </c>
    </row>
    <row r="99" spans="1:9" ht="18.75" customHeight="1" x14ac:dyDescent="0.25">
      <c r="A99" s="21">
        <v>96</v>
      </c>
      <c r="B99" s="25" t="s">
        <v>110</v>
      </c>
      <c r="C99" s="19">
        <v>10</v>
      </c>
      <c r="D99" s="20">
        <f>SUM($C$3:C98)+C99/2</f>
        <v>875</v>
      </c>
      <c r="E99" s="20">
        <f t="shared" si="1"/>
        <v>892.33907557478085</v>
      </c>
      <c r="F99" s="19">
        <v>21</v>
      </c>
      <c r="G99" s="19">
        <v>5</v>
      </c>
      <c r="H99" s="26">
        <f t="shared" si="2"/>
        <v>6236.93</v>
      </c>
      <c r="I99" s="26">
        <f t="shared" si="4"/>
        <v>10000</v>
      </c>
    </row>
    <row r="100" spans="1:9" ht="18.75" customHeight="1" x14ac:dyDescent="0.25">
      <c r="A100" s="21">
        <v>97</v>
      </c>
      <c r="B100" s="25" t="s">
        <v>111</v>
      </c>
      <c r="C100" s="19">
        <v>10</v>
      </c>
      <c r="D100" s="20">
        <f>SUM($C$3:C99)+C100/2</f>
        <v>885</v>
      </c>
      <c r="E100" s="20">
        <f t="shared" ref="E100:E163" si="5">($E$262-$E$35)/($D$262-$D$35)*(D100-$D$35)+$E$35</f>
        <v>896.34854210122592</v>
      </c>
      <c r="F100" s="19">
        <v>21</v>
      </c>
      <c r="G100" s="19">
        <v>5</v>
      </c>
      <c r="H100" s="26">
        <f t="shared" ref="H100:H163" si="6">2/3*(240*19+(D100-240)*21-(D100-4.5)*9.81)</f>
        <v>6311.53</v>
      </c>
      <c r="I100" s="26">
        <f t="shared" si="4"/>
        <v>10000</v>
      </c>
    </row>
    <row r="101" spans="1:9" ht="18.75" customHeight="1" x14ac:dyDescent="0.25">
      <c r="A101" s="21">
        <v>98</v>
      </c>
      <c r="B101" s="25" t="s">
        <v>112</v>
      </c>
      <c r="C101" s="19">
        <v>10</v>
      </c>
      <c r="D101" s="20">
        <f>SUM($C$3:C100)+C101/2</f>
        <v>895</v>
      </c>
      <c r="E101" s="20">
        <f t="shared" si="5"/>
        <v>900.3580086276711</v>
      </c>
      <c r="F101" s="19">
        <v>21</v>
      </c>
      <c r="G101" s="19">
        <v>5</v>
      </c>
      <c r="H101" s="26">
        <f t="shared" si="6"/>
        <v>6386.1299999999992</v>
      </c>
      <c r="I101" s="26">
        <f t="shared" si="4"/>
        <v>10000</v>
      </c>
    </row>
    <row r="102" spans="1:9" ht="18.75" customHeight="1" x14ac:dyDescent="0.25">
      <c r="A102" s="21">
        <v>99</v>
      </c>
      <c r="B102" s="25" t="s">
        <v>113</v>
      </c>
      <c r="C102" s="19">
        <v>10</v>
      </c>
      <c r="D102" s="20">
        <f>SUM($C$3:C101)+C102/2</f>
        <v>905</v>
      </c>
      <c r="E102" s="20">
        <f t="shared" si="5"/>
        <v>904.36747515411616</v>
      </c>
      <c r="F102" s="19">
        <v>21</v>
      </c>
      <c r="G102" s="19">
        <v>5</v>
      </c>
      <c r="H102" s="26">
        <f t="shared" si="6"/>
        <v>6460.73</v>
      </c>
      <c r="I102" s="26">
        <f t="shared" si="4"/>
        <v>10000</v>
      </c>
    </row>
    <row r="103" spans="1:9" ht="18.75" customHeight="1" x14ac:dyDescent="0.25">
      <c r="A103" s="21">
        <v>100</v>
      </c>
      <c r="B103" s="25" t="s">
        <v>114</v>
      </c>
      <c r="C103" s="19">
        <v>10</v>
      </c>
      <c r="D103" s="20">
        <f>SUM($C$3:C102)+C103/2</f>
        <v>915</v>
      </c>
      <c r="E103" s="20">
        <f t="shared" si="5"/>
        <v>908.37694168056123</v>
      </c>
      <c r="F103" s="19">
        <v>21</v>
      </c>
      <c r="G103" s="19">
        <v>5</v>
      </c>
      <c r="H103" s="26">
        <f t="shared" si="6"/>
        <v>6535.329999999999</v>
      </c>
      <c r="I103" s="26">
        <f t="shared" si="4"/>
        <v>10000</v>
      </c>
    </row>
    <row r="104" spans="1:9" ht="18.75" customHeight="1" x14ac:dyDescent="0.25">
      <c r="A104" s="21">
        <v>101</v>
      </c>
      <c r="B104" s="25" t="s">
        <v>115</v>
      </c>
      <c r="C104" s="19">
        <v>10</v>
      </c>
      <c r="D104" s="20">
        <f>SUM($C$3:C103)+C104/2</f>
        <v>925</v>
      </c>
      <c r="E104" s="20">
        <f t="shared" si="5"/>
        <v>912.38640820700641</v>
      </c>
      <c r="F104" s="19">
        <v>21</v>
      </c>
      <c r="G104" s="19">
        <v>5</v>
      </c>
      <c r="H104" s="26">
        <f t="shared" si="6"/>
        <v>6609.93</v>
      </c>
      <c r="I104" s="26">
        <f t="shared" si="4"/>
        <v>10000</v>
      </c>
    </row>
    <row r="105" spans="1:9" ht="18.75" customHeight="1" x14ac:dyDescent="0.25">
      <c r="A105" s="21">
        <v>102</v>
      </c>
      <c r="B105" s="25" t="s">
        <v>116</v>
      </c>
      <c r="C105" s="19">
        <v>10</v>
      </c>
      <c r="D105" s="20">
        <f>SUM($C$3:C104)+C105/2</f>
        <v>935</v>
      </c>
      <c r="E105" s="20">
        <f t="shared" si="5"/>
        <v>916.39587473345159</v>
      </c>
      <c r="F105" s="19">
        <v>21</v>
      </c>
      <c r="G105" s="19">
        <v>5</v>
      </c>
      <c r="H105" s="26">
        <f t="shared" si="6"/>
        <v>6684.53</v>
      </c>
      <c r="I105" s="26">
        <f t="shared" si="4"/>
        <v>10000</v>
      </c>
    </row>
    <row r="106" spans="1:9" ht="18.75" customHeight="1" x14ac:dyDescent="0.25">
      <c r="A106" s="21">
        <v>103</v>
      </c>
      <c r="B106" s="25" t="s">
        <v>117</v>
      </c>
      <c r="C106" s="19">
        <v>10</v>
      </c>
      <c r="D106" s="20">
        <f>SUM($C$3:C105)+C106/2</f>
        <v>945</v>
      </c>
      <c r="E106" s="20">
        <f t="shared" si="5"/>
        <v>920.40534125989666</v>
      </c>
      <c r="F106" s="19">
        <v>21</v>
      </c>
      <c r="G106" s="19">
        <v>5</v>
      </c>
      <c r="H106" s="26">
        <f t="shared" si="6"/>
        <v>6759.1299999999992</v>
      </c>
      <c r="I106" s="26">
        <f t="shared" si="4"/>
        <v>10000</v>
      </c>
    </row>
    <row r="107" spans="1:9" ht="18.75" customHeight="1" x14ac:dyDescent="0.25">
      <c r="A107" s="21">
        <v>104</v>
      </c>
      <c r="B107" s="25" t="s">
        <v>118</v>
      </c>
      <c r="C107" s="19">
        <v>10</v>
      </c>
      <c r="D107" s="20">
        <f>SUM($C$3:C106)+C107/2</f>
        <v>955</v>
      </c>
      <c r="E107" s="20">
        <f t="shared" si="5"/>
        <v>924.41480778634173</v>
      </c>
      <c r="F107" s="19">
        <v>21</v>
      </c>
      <c r="G107" s="19">
        <v>5</v>
      </c>
      <c r="H107" s="26">
        <f t="shared" si="6"/>
        <v>6833.73</v>
      </c>
      <c r="I107" s="26">
        <f t="shared" si="4"/>
        <v>10000</v>
      </c>
    </row>
    <row r="108" spans="1:9" ht="18.75" customHeight="1" x14ac:dyDescent="0.25">
      <c r="A108" s="21">
        <v>105</v>
      </c>
      <c r="B108" s="25" t="s">
        <v>119</v>
      </c>
      <c r="C108" s="19">
        <v>10</v>
      </c>
      <c r="D108" s="20">
        <f>SUM($C$3:C107)+C108/2</f>
        <v>965</v>
      </c>
      <c r="E108" s="20">
        <f t="shared" si="5"/>
        <v>928.42427431278679</v>
      </c>
      <c r="F108" s="19">
        <v>21</v>
      </c>
      <c r="G108" s="19">
        <v>5</v>
      </c>
      <c r="H108" s="26">
        <f t="shared" si="6"/>
        <v>6908.329999999999</v>
      </c>
      <c r="I108" s="26">
        <f t="shared" si="4"/>
        <v>10000</v>
      </c>
    </row>
    <row r="109" spans="1:9" ht="18.75" customHeight="1" x14ac:dyDescent="0.25">
      <c r="A109" s="21">
        <v>106</v>
      </c>
      <c r="B109" s="25" t="s">
        <v>120</v>
      </c>
      <c r="C109" s="19">
        <v>10</v>
      </c>
      <c r="D109" s="20">
        <f>SUM($C$3:C108)+C109/2</f>
        <v>975</v>
      </c>
      <c r="E109" s="20">
        <f t="shared" si="5"/>
        <v>932.43374083923197</v>
      </c>
      <c r="F109" s="19">
        <v>21</v>
      </c>
      <c r="G109" s="19">
        <v>5</v>
      </c>
      <c r="H109" s="26">
        <f t="shared" si="6"/>
        <v>6982.9299999999985</v>
      </c>
      <c r="I109" s="26">
        <f t="shared" si="4"/>
        <v>10000</v>
      </c>
    </row>
    <row r="110" spans="1:9" ht="18.75" customHeight="1" x14ac:dyDescent="0.25">
      <c r="A110" s="21">
        <v>107</v>
      </c>
      <c r="B110" s="25" t="s">
        <v>121</v>
      </c>
      <c r="C110" s="19">
        <v>10</v>
      </c>
      <c r="D110" s="20">
        <f>SUM($C$3:C109)+C110/2</f>
        <v>985</v>
      </c>
      <c r="E110" s="20">
        <f t="shared" si="5"/>
        <v>936.44320736567715</v>
      </c>
      <c r="F110" s="19">
        <v>21</v>
      </c>
      <c r="G110" s="19">
        <v>5</v>
      </c>
      <c r="H110" s="26">
        <f t="shared" si="6"/>
        <v>7057.53</v>
      </c>
      <c r="I110" s="26">
        <f t="shared" si="4"/>
        <v>10000</v>
      </c>
    </row>
    <row r="111" spans="1:9" ht="18.75" customHeight="1" x14ac:dyDescent="0.25">
      <c r="A111" s="21">
        <v>108</v>
      </c>
      <c r="B111" s="25" t="s">
        <v>122</v>
      </c>
      <c r="C111" s="19">
        <v>10</v>
      </c>
      <c r="D111" s="20">
        <f>SUM($C$3:C110)+C111/2</f>
        <v>995</v>
      </c>
      <c r="E111" s="20">
        <f t="shared" si="5"/>
        <v>940.45267389212222</v>
      </c>
      <c r="F111" s="19">
        <v>21</v>
      </c>
      <c r="G111" s="19">
        <v>5</v>
      </c>
      <c r="H111" s="26">
        <f t="shared" si="6"/>
        <v>7132.1299999999992</v>
      </c>
      <c r="I111" s="26">
        <f t="shared" si="4"/>
        <v>10000</v>
      </c>
    </row>
    <row r="112" spans="1:9" ht="18.75" customHeight="1" x14ac:dyDescent="0.25">
      <c r="A112" s="21">
        <v>109</v>
      </c>
      <c r="B112" s="25" t="s">
        <v>123</v>
      </c>
      <c r="C112" s="19">
        <v>10</v>
      </c>
      <c r="D112" s="20">
        <f>SUM($C$3:C111)+C112/2</f>
        <v>1005</v>
      </c>
      <c r="E112" s="20">
        <f t="shared" si="5"/>
        <v>944.46214041856729</v>
      </c>
      <c r="F112" s="19">
        <v>21</v>
      </c>
      <c r="G112" s="19">
        <v>5</v>
      </c>
      <c r="H112" s="26">
        <f t="shared" si="6"/>
        <v>7206.73</v>
      </c>
      <c r="I112" s="26">
        <f t="shared" si="4"/>
        <v>10000</v>
      </c>
    </row>
    <row r="113" spans="1:9" ht="18.75" customHeight="1" x14ac:dyDescent="0.25">
      <c r="A113" s="21">
        <v>110</v>
      </c>
      <c r="B113" s="25" t="s">
        <v>124</v>
      </c>
      <c r="C113" s="19">
        <v>20</v>
      </c>
      <c r="D113" s="20">
        <f>SUM($C$3:C112)+C113/2</f>
        <v>1020</v>
      </c>
      <c r="E113" s="20">
        <f t="shared" si="5"/>
        <v>950.476340208235</v>
      </c>
      <c r="F113" s="19">
        <v>21</v>
      </c>
      <c r="G113" s="19">
        <v>5</v>
      </c>
      <c r="H113" s="26">
        <f t="shared" si="6"/>
        <v>7318.6299999999992</v>
      </c>
      <c r="I113" s="26">
        <f t="shared" si="4"/>
        <v>10000</v>
      </c>
    </row>
    <row r="114" spans="1:9" ht="18.75" customHeight="1" x14ac:dyDescent="0.25">
      <c r="A114" s="21">
        <v>111</v>
      </c>
      <c r="B114" s="25" t="s">
        <v>125</v>
      </c>
      <c r="C114" s="19">
        <v>20</v>
      </c>
      <c r="D114" s="20">
        <f>SUM($C$3:C113)+C114/2</f>
        <v>1040</v>
      </c>
      <c r="E114" s="20">
        <f t="shared" si="5"/>
        <v>958.49527326112525</v>
      </c>
      <c r="F114" s="19">
        <v>21</v>
      </c>
      <c r="G114" s="19">
        <v>5</v>
      </c>
      <c r="H114" s="26">
        <f t="shared" si="6"/>
        <v>7467.829999999999</v>
      </c>
      <c r="I114" s="26">
        <f t="shared" si="4"/>
        <v>10000</v>
      </c>
    </row>
    <row r="115" spans="1:9" ht="18.75" customHeight="1" x14ac:dyDescent="0.25">
      <c r="A115" s="21">
        <v>112</v>
      </c>
      <c r="B115" s="25" t="s">
        <v>126</v>
      </c>
      <c r="C115" s="19">
        <v>20</v>
      </c>
      <c r="D115" s="20">
        <f>SUM($C$3:C114)+C115/2</f>
        <v>1060</v>
      </c>
      <c r="E115" s="20">
        <f t="shared" si="5"/>
        <v>966.5142063140155</v>
      </c>
      <c r="F115" s="19">
        <v>21</v>
      </c>
      <c r="G115" s="19">
        <v>5</v>
      </c>
      <c r="H115" s="26">
        <f t="shared" si="6"/>
        <v>7617.03</v>
      </c>
      <c r="I115" s="26">
        <f t="shared" si="4"/>
        <v>10000</v>
      </c>
    </row>
    <row r="116" spans="1:9" ht="18.75" customHeight="1" x14ac:dyDescent="0.25">
      <c r="A116" s="21">
        <v>113</v>
      </c>
      <c r="B116" s="25" t="s">
        <v>127</v>
      </c>
      <c r="C116" s="19">
        <v>20</v>
      </c>
      <c r="D116" s="20">
        <f>SUM($C$3:C115)+C116/2</f>
        <v>1080</v>
      </c>
      <c r="E116" s="20">
        <f t="shared" si="5"/>
        <v>974.53313936690574</v>
      </c>
      <c r="F116" s="19">
        <v>21</v>
      </c>
      <c r="G116" s="19">
        <v>5</v>
      </c>
      <c r="H116" s="26">
        <f t="shared" si="6"/>
        <v>7766.23</v>
      </c>
      <c r="I116" s="26">
        <f t="shared" si="4"/>
        <v>10000</v>
      </c>
    </row>
    <row r="117" spans="1:9" ht="18.75" customHeight="1" x14ac:dyDescent="0.25">
      <c r="A117" s="21">
        <v>114</v>
      </c>
      <c r="B117" s="25" t="s">
        <v>128</v>
      </c>
      <c r="C117" s="19">
        <v>20</v>
      </c>
      <c r="D117" s="20">
        <f>SUM($C$3:C116)+C117/2</f>
        <v>1100</v>
      </c>
      <c r="E117" s="20">
        <f t="shared" si="5"/>
        <v>982.55207241979588</v>
      </c>
      <c r="F117" s="19">
        <v>21</v>
      </c>
      <c r="G117" s="19">
        <v>5</v>
      </c>
      <c r="H117" s="26">
        <f t="shared" si="6"/>
        <v>7915.4299999999985</v>
      </c>
      <c r="I117" s="26">
        <f t="shared" si="4"/>
        <v>10000</v>
      </c>
    </row>
    <row r="118" spans="1:9" ht="18.75" customHeight="1" x14ac:dyDescent="0.25">
      <c r="A118" s="21">
        <v>115</v>
      </c>
      <c r="B118" s="25" t="s">
        <v>129</v>
      </c>
      <c r="C118" s="19">
        <v>20</v>
      </c>
      <c r="D118" s="20">
        <f>SUM($C$3:C117)+C118/2</f>
        <v>1120</v>
      </c>
      <c r="E118" s="20">
        <f t="shared" si="5"/>
        <v>990.57100547268624</v>
      </c>
      <c r="F118" s="19">
        <v>21</v>
      </c>
      <c r="G118" s="19">
        <v>5</v>
      </c>
      <c r="H118" s="26">
        <f t="shared" si="6"/>
        <v>8064.6299999999992</v>
      </c>
      <c r="I118" s="26">
        <f t="shared" si="4"/>
        <v>10000</v>
      </c>
    </row>
    <row r="119" spans="1:9" ht="18.75" customHeight="1" x14ac:dyDescent="0.25">
      <c r="A119" s="21">
        <v>116</v>
      </c>
      <c r="B119" s="25" t="s">
        <v>130</v>
      </c>
      <c r="C119" s="19">
        <v>20</v>
      </c>
      <c r="D119" s="20">
        <f>SUM($C$3:C118)+C119/2</f>
        <v>1140</v>
      </c>
      <c r="E119" s="20">
        <f t="shared" si="5"/>
        <v>998.58993852557637</v>
      </c>
      <c r="F119" s="19">
        <v>21</v>
      </c>
      <c r="G119" s="19">
        <v>5</v>
      </c>
      <c r="H119" s="26">
        <f t="shared" si="6"/>
        <v>8213.8299999999981</v>
      </c>
      <c r="I119" s="26">
        <f t="shared" si="4"/>
        <v>10000</v>
      </c>
    </row>
    <row r="120" spans="1:9" ht="18.75" customHeight="1" x14ac:dyDescent="0.25">
      <c r="A120" s="21">
        <v>117</v>
      </c>
      <c r="B120" s="25" t="s">
        <v>131</v>
      </c>
      <c r="C120" s="19">
        <v>20</v>
      </c>
      <c r="D120" s="20">
        <f>SUM($C$3:C119)+C120/2</f>
        <v>1160</v>
      </c>
      <c r="E120" s="20">
        <f t="shared" si="5"/>
        <v>1006.6088715784666</v>
      </c>
      <c r="F120" s="19">
        <v>21</v>
      </c>
      <c r="G120" s="19">
        <v>5</v>
      </c>
      <c r="H120" s="26">
        <f t="shared" si="6"/>
        <v>8363.0299999999988</v>
      </c>
      <c r="I120" s="26">
        <f t="shared" si="4"/>
        <v>10000</v>
      </c>
    </row>
    <row r="121" spans="1:9" ht="18.75" customHeight="1" x14ac:dyDescent="0.25">
      <c r="A121" s="21">
        <v>118</v>
      </c>
      <c r="B121" s="25" t="s">
        <v>132</v>
      </c>
      <c r="C121" s="19">
        <v>20</v>
      </c>
      <c r="D121" s="20">
        <f>SUM($C$3:C120)+C121/2</f>
        <v>1180</v>
      </c>
      <c r="E121" s="20">
        <f t="shared" si="5"/>
        <v>1014.6278046313569</v>
      </c>
      <c r="F121" s="19">
        <v>21</v>
      </c>
      <c r="G121" s="19">
        <v>5</v>
      </c>
      <c r="H121" s="26">
        <f t="shared" si="6"/>
        <v>8512.23</v>
      </c>
      <c r="I121" s="26">
        <f t="shared" si="4"/>
        <v>10000</v>
      </c>
    </row>
    <row r="122" spans="1:9" ht="18.75" customHeight="1" x14ac:dyDescent="0.25">
      <c r="A122" s="21">
        <v>119</v>
      </c>
      <c r="B122" s="25" t="s">
        <v>133</v>
      </c>
      <c r="C122" s="19">
        <v>20</v>
      </c>
      <c r="D122" s="20">
        <f>SUM($C$3:C121)+C122/2</f>
        <v>1200</v>
      </c>
      <c r="E122" s="20">
        <f t="shared" si="5"/>
        <v>1022.6467376842471</v>
      </c>
      <c r="F122" s="19">
        <v>21</v>
      </c>
      <c r="G122" s="19">
        <v>5</v>
      </c>
      <c r="H122" s="26">
        <f t="shared" si="6"/>
        <v>8661.4299999999985</v>
      </c>
      <c r="I122" s="26">
        <f t="shared" si="4"/>
        <v>10000</v>
      </c>
    </row>
    <row r="123" spans="1:9" ht="18.75" customHeight="1" x14ac:dyDescent="0.25">
      <c r="A123" s="21">
        <v>120</v>
      </c>
      <c r="B123" s="25" t="s">
        <v>134</v>
      </c>
      <c r="C123" s="19">
        <v>20</v>
      </c>
      <c r="D123" s="20">
        <f>SUM($C$3:C122)+C123/2</f>
        <v>1220</v>
      </c>
      <c r="E123" s="20">
        <f t="shared" si="5"/>
        <v>1030.6656707371374</v>
      </c>
      <c r="F123" s="19">
        <v>21</v>
      </c>
      <c r="G123" s="19">
        <v>5</v>
      </c>
      <c r="H123" s="26">
        <f t="shared" si="6"/>
        <v>8810.6299999999992</v>
      </c>
      <c r="I123" s="26">
        <f t="shared" si="4"/>
        <v>10000</v>
      </c>
    </row>
    <row r="124" spans="1:9" ht="18.75" customHeight="1" x14ac:dyDescent="0.25">
      <c r="A124" s="21">
        <v>121</v>
      </c>
      <c r="B124" s="25" t="s">
        <v>135</v>
      </c>
      <c r="C124" s="19">
        <v>20</v>
      </c>
      <c r="D124" s="20">
        <f>SUM($C$3:C123)+C124/2</f>
        <v>1240</v>
      </c>
      <c r="E124" s="20">
        <f t="shared" si="5"/>
        <v>1038.6846037900275</v>
      </c>
      <c r="F124" s="19">
        <v>21</v>
      </c>
      <c r="G124" s="19">
        <v>5</v>
      </c>
      <c r="H124" s="26">
        <f t="shared" si="6"/>
        <v>8959.8299999999981</v>
      </c>
      <c r="I124" s="26">
        <f t="shared" si="4"/>
        <v>10000</v>
      </c>
    </row>
    <row r="125" spans="1:9" ht="18.75" customHeight="1" x14ac:dyDescent="0.25">
      <c r="A125" s="21">
        <v>122</v>
      </c>
      <c r="B125" s="25" t="s">
        <v>136</v>
      </c>
      <c r="C125" s="19">
        <v>20</v>
      </c>
      <c r="D125" s="20">
        <f>SUM($C$3:C124)+C125/2</f>
        <v>1260</v>
      </c>
      <c r="E125" s="20">
        <f t="shared" si="5"/>
        <v>1046.7035368429179</v>
      </c>
      <c r="F125" s="19">
        <v>21</v>
      </c>
      <c r="G125" s="19">
        <v>5</v>
      </c>
      <c r="H125" s="26">
        <f t="shared" si="6"/>
        <v>9109.0299999999988</v>
      </c>
      <c r="I125" s="26">
        <f t="shared" si="4"/>
        <v>10000</v>
      </c>
    </row>
    <row r="126" spans="1:9" ht="18.75" customHeight="1" x14ac:dyDescent="0.25">
      <c r="A126" s="21">
        <v>123</v>
      </c>
      <c r="B126" s="25" t="s">
        <v>137</v>
      </c>
      <c r="C126" s="19">
        <v>20</v>
      </c>
      <c r="D126" s="20">
        <f>SUM($C$3:C125)+C126/2</f>
        <v>1280</v>
      </c>
      <c r="E126" s="20">
        <f t="shared" si="5"/>
        <v>1054.722469895808</v>
      </c>
      <c r="F126" s="19">
        <v>21</v>
      </c>
      <c r="G126" s="19">
        <v>5</v>
      </c>
      <c r="H126" s="26">
        <f t="shared" si="6"/>
        <v>9258.23</v>
      </c>
      <c r="I126" s="26">
        <f t="shared" si="4"/>
        <v>10000</v>
      </c>
    </row>
    <row r="127" spans="1:9" ht="18.75" customHeight="1" x14ac:dyDescent="0.25">
      <c r="A127" s="21">
        <v>124</v>
      </c>
      <c r="B127" s="25" t="s">
        <v>138</v>
      </c>
      <c r="C127" s="19">
        <v>20</v>
      </c>
      <c r="D127" s="20">
        <f>SUM($C$3:C126)+C127/2</f>
        <v>1300</v>
      </c>
      <c r="E127" s="20">
        <f t="shared" si="5"/>
        <v>1062.7414029486984</v>
      </c>
      <c r="F127" s="19">
        <v>21</v>
      </c>
      <c r="G127" s="19">
        <v>5</v>
      </c>
      <c r="H127" s="26">
        <f t="shared" si="6"/>
        <v>9407.4299999999985</v>
      </c>
      <c r="I127" s="26">
        <f t="shared" si="4"/>
        <v>10000</v>
      </c>
    </row>
    <row r="128" spans="1:9" ht="18.75" customHeight="1" x14ac:dyDescent="0.25">
      <c r="A128" s="21">
        <v>125</v>
      </c>
      <c r="B128" s="25" t="s">
        <v>139</v>
      </c>
      <c r="C128" s="19">
        <v>20</v>
      </c>
      <c r="D128" s="20">
        <f>SUM($C$3:C127)+C128/2</f>
        <v>1320</v>
      </c>
      <c r="E128" s="20">
        <f t="shared" si="5"/>
        <v>1070.7603360015885</v>
      </c>
      <c r="F128" s="19">
        <v>21</v>
      </c>
      <c r="G128" s="19">
        <v>5</v>
      </c>
      <c r="H128" s="26">
        <f t="shared" si="6"/>
        <v>9556.6299999999992</v>
      </c>
      <c r="I128" s="26">
        <f t="shared" si="4"/>
        <v>10000</v>
      </c>
    </row>
    <row r="129" spans="1:9" ht="18.75" customHeight="1" x14ac:dyDescent="0.25">
      <c r="A129" s="21">
        <v>126</v>
      </c>
      <c r="B129" s="25" t="s">
        <v>140</v>
      </c>
      <c r="C129" s="19">
        <v>20</v>
      </c>
      <c r="D129" s="20">
        <f>SUM($C$3:C128)+C129/2</f>
        <v>1340</v>
      </c>
      <c r="E129" s="20">
        <f t="shared" si="5"/>
        <v>1078.7792690544788</v>
      </c>
      <c r="F129" s="19">
        <v>21</v>
      </c>
      <c r="G129" s="19">
        <v>5</v>
      </c>
      <c r="H129" s="26">
        <f t="shared" si="6"/>
        <v>9705.8299999999981</v>
      </c>
      <c r="I129" s="26">
        <f t="shared" si="4"/>
        <v>10000</v>
      </c>
    </row>
    <row r="130" spans="1:9" ht="18.75" customHeight="1" x14ac:dyDescent="0.25">
      <c r="A130" s="21">
        <v>127</v>
      </c>
      <c r="B130" s="25" t="s">
        <v>141</v>
      </c>
      <c r="C130" s="19">
        <v>20</v>
      </c>
      <c r="D130" s="20">
        <f>SUM($C$3:C129)+C130/2</f>
        <v>1360</v>
      </c>
      <c r="E130" s="20">
        <f t="shared" si="5"/>
        <v>1086.798202107369</v>
      </c>
      <c r="F130" s="19">
        <v>21</v>
      </c>
      <c r="G130" s="19">
        <v>5</v>
      </c>
      <c r="H130" s="26">
        <f t="shared" si="6"/>
        <v>9855.0299999999988</v>
      </c>
      <c r="I130" s="26">
        <f t="shared" si="4"/>
        <v>10000</v>
      </c>
    </row>
    <row r="131" spans="1:9" ht="18.75" customHeight="1" x14ac:dyDescent="0.25">
      <c r="A131" s="21">
        <v>128</v>
      </c>
      <c r="B131" s="25" t="s">
        <v>142</v>
      </c>
      <c r="C131" s="19">
        <v>20</v>
      </c>
      <c r="D131" s="20">
        <f>SUM($C$3:C130)+C131/2</f>
        <v>1380</v>
      </c>
      <c r="E131" s="20">
        <f t="shared" si="5"/>
        <v>1094.8171351602591</v>
      </c>
      <c r="F131" s="19">
        <v>21</v>
      </c>
      <c r="G131" s="19">
        <v>5</v>
      </c>
      <c r="H131" s="26">
        <f t="shared" si="6"/>
        <v>10004.23</v>
      </c>
      <c r="I131" s="26">
        <f t="shared" si="4"/>
        <v>10000</v>
      </c>
    </row>
    <row r="132" spans="1:9" ht="18.75" customHeight="1" x14ac:dyDescent="0.25">
      <c r="A132" s="21">
        <v>129</v>
      </c>
      <c r="B132" s="25" t="s">
        <v>143</v>
      </c>
      <c r="C132" s="19">
        <v>20</v>
      </c>
      <c r="D132" s="20">
        <f>SUM($C$3:C131)+C132/2</f>
        <v>1400</v>
      </c>
      <c r="E132" s="20">
        <f t="shared" si="5"/>
        <v>1102.8360682131495</v>
      </c>
      <c r="F132" s="19">
        <v>21</v>
      </c>
      <c r="G132" s="19">
        <v>5</v>
      </c>
      <c r="H132" s="26">
        <f t="shared" si="6"/>
        <v>10153.429999999998</v>
      </c>
      <c r="I132" s="26">
        <f t="shared" si="4"/>
        <v>10000</v>
      </c>
    </row>
    <row r="133" spans="1:9" ht="18.75" customHeight="1" x14ac:dyDescent="0.25">
      <c r="A133" s="21">
        <v>130</v>
      </c>
      <c r="B133" s="25" t="s">
        <v>144</v>
      </c>
      <c r="C133" s="19">
        <v>20</v>
      </c>
      <c r="D133" s="20">
        <f>SUM($C$3:C132)+C133/2</f>
        <v>1420</v>
      </c>
      <c r="E133" s="20">
        <f t="shared" si="5"/>
        <v>1110.8550012660396</v>
      </c>
      <c r="F133" s="19">
        <v>21</v>
      </c>
      <c r="G133" s="19">
        <v>5</v>
      </c>
      <c r="H133" s="26">
        <f t="shared" si="6"/>
        <v>10302.629999999999</v>
      </c>
      <c r="I133" s="26">
        <f t="shared" si="4"/>
        <v>10000</v>
      </c>
    </row>
    <row r="134" spans="1:9" ht="18.75" customHeight="1" x14ac:dyDescent="0.25">
      <c r="A134" s="21">
        <v>131</v>
      </c>
      <c r="B134" s="25" t="s">
        <v>145</v>
      </c>
      <c r="C134" s="19">
        <v>20</v>
      </c>
      <c r="D134" s="20">
        <f>SUM($C$3:C133)+C134/2</f>
        <v>1440</v>
      </c>
      <c r="E134" s="20">
        <f t="shared" si="5"/>
        <v>1118.87393431893</v>
      </c>
      <c r="F134" s="19">
        <v>21</v>
      </c>
      <c r="G134" s="19">
        <v>5</v>
      </c>
      <c r="H134" s="26">
        <f t="shared" si="6"/>
        <v>10451.829999999998</v>
      </c>
      <c r="I134" s="26">
        <f t="shared" si="4"/>
        <v>10000</v>
      </c>
    </row>
    <row r="135" spans="1:9" ht="18.75" customHeight="1" x14ac:dyDescent="0.25">
      <c r="A135" s="21">
        <v>132</v>
      </c>
      <c r="B135" s="25" t="s">
        <v>146</v>
      </c>
      <c r="C135" s="19">
        <v>20</v>
      </c>
      <c r="D135" s="20">
        <f>SUM($C$3:C134)+C135/2</f>
        <v>1460</v>
      </c>
      <c r="E135" s="20">
        <f t="shared" si="5"/>
        <v>1126.8928673718201</v>
      </c>
      <c r="F135" s="19">
        <v>21</v>
      </c>
      <c r="G135" s="19">
        <v>5</v>
      </c>
      <c r="H135" s="26">
        <f t="shared" si="6"/>
        <v>10601.029999999999</v>
      </c>
      <c r="I135" s="26">
        <f t="shared" si="4"/>
        <v>10000</v>
      </c>
    </row>
    <row r="136" spans="1:9" ht="18.75" customHeight="1" x14ac:dyDescent="0.25">
      <c r="A136" s="21">
        <v>133</v>
      </c>
      <c r="B136" s="25" t="s">
        <v>147</v>
      </c>
      <c r="C136" s="19">
        <v>20</v>
      </c>
      <c r="D136" s="20">
        <f>SUM($C$3:C135)+C136/2</f>
        <v>1480</v>
      </c>
      <c r="E136" s="20">
        <f t="shared" si="5"/>
        <v>1134.9118004247102</v>
      </c>
      <c r="F136" s="19">
        <v>21</v>
      </c>
      <c r="G136" s="19">
        <v>5</v>
      </c>
      <c r="H136" s="26">
        <f t="shared" si="6"/>
        <v>10750.23</v>
      </c>
      <c r="I136" s="26">
        <f t="shared" si="4"/>
        <v>10000</v>
      </c>
    </row>
    <row r="137" spans="1:9" ht="18.75" customHeight="1" x14ac:dyDescent="0.25">
      <c r="A137" s="21">
        <v>134</v>
      </c>
      <c r="B137" s="25" t="s">
        <v>148</v>
      </c>
      <c r="C137" s="19">
        <v>20</v>
      </c>
      <c r="D137" s="20">
        <f>SUM($C$3:C136)+C137/2</f>
        <v>1500</v>
      </c>
      <c r="E137" s="20">
        <f t="shared" si="5"/>
        <v>1142.9307334776006</v>
      </c>
      <c r="F137" s="19">
        <v>21</v>
      </c>
      <c r="G137" s="19">
        <v>5</v>
      </c>
      <c r="H137" s="26">
        <f t="shared" si="6"/>
        <v>10899.429999999998</v>
      </c>
      <c r="I137" s="26">
        <f t="shared" si="4"/>
        <v>10000</v>
      </c>
    </row>
    <row r="138" spans="1:9" ht="18.75" customHeight="1" x14ac:dyDescent="0.25">
      <c r="A138" s="21">
        <v>135</v>
      </c>
      <c r="B138" s="25" t="s">
        <v>149</v>
      </c>
      <c r="C138" s="19">
        <v>20</v>
      </c>
      <c r="D138" s="20">
        <f>SUM($C$3:C137)+C138/2</f>
        <v>1520</v>
      </c>
      <c r="E138" s="20">
        <f t="shared" si="5"/>
        <v>1150.949666530491</v>
      </c>
      <c r="F138" s="19">
        <v>21</v>
      </c>
      <c r="G138" s="19">
        <v>5</v>
      </c>
      <c r="H138" s="26">
        <f t="shared" si="6"/>
        <v>11048.63</v>
      </c>
      <c r="I138" s="26">
        <f t="shared" si="4"/>
        <v>10000</v>
      </c>
    </row>
    <row r="139" spans="1:9" ht="18.75" customHeight="1" x14ac:dyDescent="0.25">
      <c r="A139" s="21">
        <v>136</v>
      </c>
      <c r="B139" s="25" t="s">
        <v>150</v>
      </c>
      <c r="C139" s="19">
        <v>20</v>
      </c>
      <c r="D139" s="20">
        <f>SUM($C$3:C138)+C139/2</f>
        <v>1540</v>
      </c>
      <c r="E139" s="20">
        <f t="shared" si="5"/>
        <v>1158.9685995833811</v>
      </c>
      <c r="F139" s="19">
        <v>21</v>
      </c>
      <c r="G139" s="19">
        <v>5</v>
      </c>
      <c r="H139" s="26">
        <f t="shared" si="6"/>
        <v>11197.829999999998</v>
      </c>
      <c r="I139" s="26">
        <f t="shared" si="4"/>
        <v>10000</v>
      </c>
    </row>
    <row r="140" spans="1:9" ht="18.75" customHeight="1" x14ac:dyDescent="0.25">
      <c r="A140" s="21">
        <v>137</v>
      </c>
      <c r="B140" s="25" t="s">
        <v>151</v>
      </c>
      <c r="C140" s="19">
        <v>20</v>
      </c>
      <c r="D140" s="20">
        <f>SUM($C$3:C139)+C140/2</f>
        <v>1560</v>
      </c>
      <c r="E140" s="20">
        <f t="shared" si="5"/>
        <v>1166.9875326362712</v>
      </c>
      <c r="F140" s="19">
        <v>21</v>
      </c>
      <c r="G140" s="19">
        <v>5</v>
      </c>
      <c r="H140" s="26">
        <f t="shared" si="6"/>
        <v>11347.029999999999</v>
      </c>
      <c r="I140" s="26">
        <f t="shared" si="4"/>
        <v>10000</v>
      </c>
    </row>
    <row r="141" spans="1:9" ht="18.75" customHeight="1" x14ac:dyDescent="0.25">
      <c r="A141" s="21">
        <v>138</v>
      </c>
      <c r="B141" s="25" t="s">
        <v>152</v>
      </c>
      <c r="C141" s="19">
        <v>20</v>
      </c>
      <c r="D141" s="20">
        <f>SUM($C$3:C140)+C141/2</f>
        <v>1580</v>
      </c>
      <c r="E141" s="20">
        <f t="shared" si="5"/>
        <v>1175.0064656891614</v>
      </c>
      <c r="F141" s="19">
        <v>21</v>
      </c>
      <c r="G141" s="19">
        <v>5</v>
      </c>
      <c r="H141" s="26">
        <f t="shared" si="6"/>
        <v>11496.23</v>
      </c>
      <c r="I141" s="26">
        <f t="shared" si="4"/>
        <v>10000</v>
      </c>
    </row>
    <row r="142" spans="1:9" ht="18.75" customHeight="1" x14ac:dyDescent="0.25">
      <c r="A142" s="21">
        <v>139</v>
      </c>
      <c r="B142" s="25" t="s">
        <v>153</v>
      </c>
      <c r="C142" s="19">
        <v>20</v>
      </c>
      <c r="D142" s="20">
        <f>SUM($C$3:C141)+C142/2</f>
        <v>1600</v>
      </c>
      <c r="E142" s="20">
        <f t="shared" si="5"/>
        <v>1183.0253987420517</v>
      </c>
      <c r="F142" s="19">
        <v>21</v>
      </c>
      <c r="G142" s="19">
        <v>5</v>
      </c>
      <c r="H142" s="26">
        <f t="shared" si="6"/>
        <v>11645.429999999997</v>
      </c>
      <c r="I142" s="26">
        <f t="shared" si="4"/>
        <v>10000</v>
      </c>
    </row>
    <row r="143" spans="1:9" ht="18.75" customHeight="1" x14ac:dyDescent="0.25">
      <c r="A143" s="21">
        <v>140</v>
      </c>
      <c r="B143" s="25" t="s">
        <v>154</v>
      </c>
      <c r="C143" s="19">
        <v>20</v>
      </c>
      <c r="D143" s="20">
        <f>SUM($C$3:C142)+C143/2</f>
        <v>1620</v>
      </c>
      <c r="E143" s="20">
        <f t="shared" si="5"/>
        <v>1191.0443317949421</v>
      </c>
      <c r="F143" s="19">
        <v>21</v>
      </c>
      <c r="G143" s="19">
        <v>5</v>
      </c>
      <c r="H143" s="26">
        <f t="shared" si="6"/>
        <v>11794.63</v>
      </c>
      <c r="I143" s="26">
        <f t="shared" si="4"/>
        <v>10000</v>
      </c>
    </row>
    <row r="144" spans="1:9" ht="18.75" customHeight="1" x14ac:dyDescent="0.25">
      <c r="A144" s="21">
        <v>141</v>
      </c>
      <c r="B144" s="25" t="s">
        <v>155</v>
      </c>
      <c r="C144" s="19">
        <v>20</v>
      </c>
      <c r="D144" s="20">
        <f>SUM($C$3:C143)+C144/2</f>
        <v>1640</v>
      </c>
      <c r="E144" s="20">
        <f t="shared" si="5"/>
        <v>1199.0632648478322</v>
      </c>
      <c r="F144" s="19">
        <v>21</v>
      </c>
      <c r="G144" s="19">
        <v>5</v>
      </c>
      <c r="H144" s="26">
        <f t="shared" si="6"/>
        <v>11943.829999999998</v>
      </c>
      <c r="I144" s="26">
        <f t="shared" si="4"/>
        <v>10000</v>
      </c>
    </row>
    <row r="145" spans="1:9" ht="18.75" customHeight="1" x14ac:dyDescent="0.25">
      <c r="A145" s="21">
        <v>142</v>
      </c>
      <c r="B145" s="25" t="s">
        <v>156</v>
      </c>
      <c r="C145" s="19">
        <v>20</v>
      </c>
      <c r="D145" s="20">
        <f>SUM($C$3:C144)+C145/2</f>
        <v>1660</v>
      </c>
      <c r="E145" s="20">
        <f t="shared" si="5"/>
        <v>1207.0821979007223</v>
      </c>
      <c r="F145" s="19">
        <v>21</v>
      </c>
      <c r="G145" s="19">
        <v>5</v>
      </c>
      <c r="H145" s="26">
        <f t="shared" si="6"/>
        <v>12093.029999999999</v>
      </c>
      <c r="I145" s="26">
        <f t="shared" si="4"/>
        <v>10000</v>
      </c>
    </row>
    <row r="146" spans="1:9" ht="18.75" customHeight="1" x14ac:dyDescent="0.25">
      <c r="A146" s="21">
        <v>143</v>
      </c>
      <c r="B146" s="25" t="s">
        <v>157</v>
      </c>
      <c r="C146" s="19">
        <v>20</v>
      </c>
      <c r="D146" s="20">
        <f>SUM($C$3:C145)+C146/2</f>
        <v>1680</v>
      </c>
      <c r="E146" s="20">
        <f t="shared" si="5"/>
        <v>1215.1011309536127</v>
      </c>
      <c r="F146" s="19">
        <v>21</v>
      </c>
      <c r="G146" s="19">
        <v>5</v>
      </c>
      <c r="H146" s="26">
        <f t="shared" si="6"/>
        <v>12242.229999999998</v>
      </c>
      <c r="I146" s="26">
        <f t="shared" si="4"/>
        <v>10000</v>
      </c>
    </row>
    <row r="147" spans="1:9" ht="18.75" customHeight="1" x14ac:dyDescent="0.25">
      <c r="A147" s="21">
        <v>144</v>
      </c>
      <c r="B147" s="25" t="s">
        <v>158</v>
      </c>
      <c r="C147" s="19">
        <v>20</v>
      </c>
      <c r="D147" s="20">
        <f>SUM($C$3:C146)+C147/2</f>
        <v>1700</v>
      </c>
      <c r="E147" s="20">
        <f t="shared" si="5"/>
        <v>1223.1200640065031</v>
      </c>
      <c r="F147" s="19">
        <v>21</v>
      </c>
      <c r="G147" s="19">
        <v>5</v>
      </c>
      <c r="H147" s="26">
        <f t="shared" si="6"/>
        <v>12391.43</v>
      </c>
      <c r="I147" s="26">
        <f t="shared" ref="I147:I210" si="7">ROUND(H147, -4)</f>
        <v>10000</v>
      </c>
    </row>
    <row r="148" spans="1:9" ht="18.75" customHeight="1" x14ac:dyDescent="0.25">
      <c r="A148" s="21">
        <v>145</v>
      </c>
      <c r="B148" s="25" t="s">
        <v>159</v>
      </c>
      <c r="C148" s="19">
        <v>20</v>
      </c>
      <c r="D148" s="20">
        <f>SUM($C$3:C147)+C148/2</f>
        <v>1720</v>
      </c>
      <c r="E148" s="20">
        <f t="shared" si="5"/>
        <v>1231.1389970593932</v>
      </c>
      <c r="F148" s="19">
        <v>21</v>
      </c>
      <c r="G148" s="19">
        <v>5</v>
      </c>
      <c r="H148" s="26">
        <f t="shared" si="6"/>
        <v>12540.63</v>
      </c>
      <c r="I148" s="26">
        <f t="shared" si="7"/>
        <v>10000</v>
      </c>
    </row>
    <row r="149" spans="1:9" ht="18.75" customHeight="1" x14ac:dyDescent="0.25">
      <c r="A149" s="21">
        <v>146</v>
      </c>
      <c r="B149" s="25" t="s">
        <v>160</v>
      </c>
      <c r="C149" s="19">
        <v>20</v>
      </c>
      <c r="D149" s="20">
        <f>SUM($C$3:C148)+C149/2</f>
        <v>1740</v>
      </c>
      <c r="E149" s="20">
        <f t="shared" si="5"/>
        <v>1239.1579301122833</v>
      </c>
      <c r="F149" s="19">
        <v>21</v>
      </c>
      <c r="G149" s="19">
        <v>5</v>
      </c>
      <c r="H149" s="26">
        <f t="shared" si="6"/>
        <v>12689.829999999998</v>
      </c>
      <c r="I149" s="26">
        <f t="shared" si="7"/>
        <v>10000</v>
      </c>
    </row>
    <row r="150" spans="1:9" ht="18.75" customHeight="1" x14ac:dyDescent="0.25">
      <c r="A150" s="21">
        <v>147</v>
      </c>
      <c r="B150" s="25" t="s">
        <v>161</v>
      </c>
      <c r="C150" s="19">
        <v>20</v>
      </c>
      <c r="D150" s="20">
        <f>SUM($C$3:C149)+C150/2</f>
        <v>1760</v>
      </c>
      <c r="E150" s="20">
        <f t="shared" si="5"/>
        <v>1247.1768631651735</v>
      </c>
      <c r="F150" s="19">
        <v>21</v>
      </c>
      <c r="G150" s="19">
        <v>5</v>
      </c>
      <c r="H150" s="26">
        <f t="shared" si="6"/>
        <v>12839.029999999999</v>
      </c>
      <c r="I150" s="26">
        <f t="shared" si="7"/>
        <v>10000</v>
      </c>
    </row>
    <row r="151" spans="1:9" ht="18.75" customHeight="1" x14ac:dyDescent="0.25">
      <c r="A151" s="21">
        <v>148</v>
      </c>
      <c r="B151" s="25" t="s">
        <v>162</v>
      </c>
      <c r="C151" s="19">
        <v>20</v>
      </c>
      <c r="D151" s="20">
        <f>SUM($C$3:C150)+C151/2</f>
        <v>1780</v>
      </c>
      <c r="E151" s="20">
        <f t="shared" si="5"/>
        <v>1255.1957962180638</v>
      </c>
      <c r="F151" s="19">
        <v>21</v>
      </c>
      <c r="G151" s="19">
        <v>5</v>
      </c>
      <c r="H151" s="26">
        <f t="shared" si="6"/>
        <v>12988.229999999998</v>
      </c>
      <c r="I151" s="26">
        <f t="shared" si="7"/>
        <v>10000</v>
      </c>
    </row>
    <row r="152" spans="1:9" ht="18.75" customHeight="1" x14ac:dyDescent="0.25">
      <c r="A152" s="21">
        <v>149</v>
      </c>
      <c r="B152" s="25" t="s">
        <v>163</v>
      </c>
      <c r="C152" s="19">
        <v>20</v>
      </c>
      <c r="D152" s="20">
        <f>SUM($C$3:C151)+C152/2</f>
        <v>1800</v>
      </c>
      <c r="E152" s="20">
        <f t="shared" si="5"/>
        <v>1263.2147292709542</v>
      </c>
      <c r="F152" s="19">
        <v>21</v>
      </c>
      <c r="G152" s="19">
        <v>5</v>
      </c>
      <c r="H152" s="26">
        <f t="shared" si="6"/>
        <v>13137.43</v>
      </c>
      <c r="I152" s="26">
        <f t="shared" si="7"/>
        <v>10000</v>
      </c>
    </row>
    <row r="153" spans="1:9" ht="18.75" customHeight="1" x14ac:dyDescent="0.25">
      <c r="A153" s="21">
        <v>150</v>
      </c>
      <c r="B153" s="25" t="s">
        <v>164</v>
      </c>
      <c r="C153" s="19">
        <v>20</v>
      </c>
      <c r="D153" s="20">
        <f>SUM($C$3:C152)+C153/2</f>
        <v>1820</v>
      </c>
      <c r="E153" s="20">
        <f t="shared" si="5"/>
        <v>1271.2336623238443</v>
      </c>
      <c r="F153" s="19">
        <v>21</v>
      </c>
      <c r="G153" s="19">
        <v>5</v>
      </c>
      <c r="H153" s="26">
        <f t="shared" si="6"/>
        <v>13286.63</v>
      </c>
      <c r="I153" s="26">
        <f t="shared" si="7"/>
        <v>10000</v>
      </c>
    </row>
    <row r="154" spans="1:9" ht="18.75" customHeight="1" x14ac:dyDescent="0.25">
      <c r="A154" s="21">
        <v>151</v>
      </c>
      <c r="B154" s="25" t="s">
        <v>165</v>
      </c>
      <c r="C154" s="19">
        <v>20</v>
      </c>
      <c r="D154" s="20">
        <f>SUM($C$3:C153)+C154/2</f>
        <v>1840</v>
      </c>
      <c r="E154" s="20">
        <f t="shared" si="5"/>
        <v>1279.2525953767345</v>
      </c>
      <c r="F154" s="19">
        <v>21</v>
      </c>
      <c r="G154" s="19">
        <v>5</v>
      </c>
      <c r="H154" s="26">
        <f t="shared" si="6"/>
        <v>13435.829999999998</v>
      </c>
      <c r="I154" s="26">
        <f t="shared" si="7"/>
        <v>10000</v>
      </c>
    </row>
    <row r="155" spans="1:9" ht="18.75" customHeight="1" x14ac:dyDescent="0.25">
      <c r="A155" s="21">
        <v>152</v>
      </c>
      <c r="B155" s="25" t="s">
        <v>166</v>
      </c>
      <c r="C155" s="19">
        <v>20</v>
      </c>
      <c r="D155" s="20">
        <f>SUM($C$3:C154)+C155/2</f>
        <v>1860</v>
      </c>
      <c r="E155" s="20">
        <f t="shared" si="5"/>
        <v>1287.2715284296248</v>
      </c>
      <c r="F155" s="19">
        <v>21</v>
      </c>
      <c r="G155" s="19">
        <v>5</v>
      </c>
      <c r="H155" s="26">
        <f t="shared" si="6"/>
        <v>13585.029999999999</v>
      </c>
      <c r="I155" s="26">
        <f t="shared" si="7"/>
        <v>10000</v>
      </c>
    </row>
    <row r="156" spans="1:9" ht="18.75" customHeight="1" x14ac:dyDescent="0.25">
      <c r="A156" s="21">
        <v>153</v>
      </c>
      <c r="B156" s="25" t="s">
        <v>167</v>
      </c>
      <c r="C156" s="19">
        <v>20</v>
      </c>
      <c r="D156" s="20">
        <f>SUM($C$3:C155)+C156/2</f>
        <v>1880</v>
      </c>
      <c r="E156" s="20">
        <f t="shared" si="5"/>
        <v>1295.290461482515</v>
      </c>
      <c r="F156" s="19">
        <v>21</v>
      </c>
      <c r="G156" s="19">
        <v>5</v>
      </c>
      <c r="H156" s="26">
        <f t="shared" si="6"/>
        <v>13734.229999999998</v>
      </c>
      <c r="I156" s="26">
        <f t="shared" si="7"/>
        <v>10000</v>
      </c>
    </row>
    <row r="157" spans="1:9" ht="18.75" customHeight="1" x14ac:dyDescent="0.25">
      <c r="A157" s="21">
        <v>154</v>
      </c>
      <c r="B157" s="25" t="s">
        <v>168</v>
      </c>
      <c r="C157" s="19">
        <v>20</v>
      </c>
      <c r="D157" s="20">
        <f>SUM($C$3:C156)+C157/2</f>
        <v>1900</v>
      </c>
      <c r="E157" s="20">
        <f t="shared" si="5"/>
        <v>1303.3093945354053</v>
      </c>
      <c r="F157" s="19">
        <v>21</v>
      </c>
      <c r="G157" s="19">
        <v>5</v>
      </c>
      <c r="H157" s="26">
        <f t="shared" si="6"/>
        <v>13883.43</v>
      </c>
      <c r="I157" s="26">
        <f t="shared" si="7"/>
        <v>10000</v>
      </c>
    </row>
    <row r="158" spans="1:9" ht="18.75" customHeight="1" x14ac:dyDescent="0.25">
      <c r="A158" s="21">
        <v>155</v>
      </c>
      <c r="B158" s="25" t="s">
        <v>169</v>
      </c>
      <c r="C158" s="19">
        <v>20</v>
      </c>
      <c r="D158" s="20">
        <f>SUM($C$3:C157)+C158/2</f>
        <v>1920</v>
      </c>
      <c r="E158" s="20">
        <f t="shared" si="5"/>
        <v>1311.3283275882955</v>
      </c>
      <c r="F158" s="19">
        <v>21</v>
      </c>
      <c r="G158" s="19">
        <v>5</v>
      </c>
      <c r="H158" s="26">
        <f t="shared" si="6"/>
        <v>14032.63</v>
      </c>
      <c r="I158" s="26">
        <f t="shared" si="7"/>
        <v>10000</v>
      </c>
    </row>
    <row r="159" spans="1:9" ht="18.75" customHeight="1" x14ac:dyDescent="0.25">
      <c r="A159" s="21">
        <v>156</v>
      </c>
      <c r="B159" s="25" t="s">
        <v>170</v>
      </c>
      <c r="C159" s="19">
        <v>20</v>
      </c>
      <c r="D159" s="20">
        <f>SUM($C$3:C158)+C159/2</f>
        <v>1940</v>
      </c>
      <c r="E159" s="20">
        <f t="shared" si="5"/>
        <v>1319.3472606411856</v>
      </c>
      <c r="F159" s="19">
        <v>21</v>
      </c>
      <c r="G159" s="19">
        <v>5</v>
      </c>
      <c r="H159" s="26">
        <f t="shared" si="6"/>
        <v>14181.829999999998</v>
      </c>
      <c r="I159" s="26">
        <f t="shared" si="7"/>
        <v>10000</v>
      </c>
    </row>
    <row r="160" spans="1:9" ht="18.75" customHeight="1" x14ac:dyDescent="0.25">
      <c r="A160" s="21">
        <v>157</v>
      </c>
      <c r="B160" s="25" t="s">
        <v>171</v>
      </c>
      <c r="C160" s="19">
        <v>20</v>
      </c>
      <c r="D160" s="20">
        <f>SUM($C$3:C159)+C160/2</f>
        <v>1960</v>
      </c>
      <c r="E160" s="20">
        <f t="shared" si="5"/>
        <v>1327.3661936940759</v>
      </c>
      <c r="F160" s="19">
        <v>21</v>
      </c>
      <c r="G160" s="19">
        <v>5</v>
      </c>
      <c r="H160" s="26">
        <f t="shared" si="6"/>
        <v>14331.029999999999</v>
      </c>
      <c r="I160" s="26">
        <f t="shared" si="7"/>
        <v>10000</v>
      </c>
    </row>
    <row r="161" spans="1:9" ht="18.75" customHeight="1" x14ac:dyDescent="0.25">
      <c r="A161" s="21">
        <v>158</v>
      </c>
      <c r="B161" s="25" t="s">
        <v>172</v>
      </c>
      <c r="C161" s="19">
        <v>20</v>
      </c>
      <c r="D161" s="20">
        <f>SUM($C$3:C160)+C161/2</f>
        <v>1980</v>
      </c>
      <c r="E161" s="20">
        <f t="shared" si="5"/>
        <v>1335.3851267469663</v>
      </c>
      <c r="F161" s="19">
        <v>21</v>
      </c>
      <c r="G161" s="19">
        <v>5</v>
      </c>
      <c r="H161" s="26">
        <f t="shared" si="6"/>
        <v>14480.229999999998</v>
      </c>
      <c r="I161" s="26">
        <f t="shared" si="7"/>
        <v>10000</v>
      </c>
    </row>
    <row r="162" spans="1:9" ht="18.75" customHeight="1" x14ac:dyDescent="0.25">
      <c r="A162" s="21">
        <v>159</v>
      </c>
      <c r="B162" s="25" t="s">
        <v>173</v>
      </c>
      <c r="C162" s="19">
        <v>20</v>
      </c>
      <c r="D162" s="20">
        <f>SUM($C$3:C161)+C162/2</f>
        <v>2000</v>
      </c>
      <c r="E162" s="20">
        <f t="shared" si="5"/>
        <v>1343.4040597998564</v>
      </c>
      <c r="F162" s="19">
        <v>21</v>
      </c>
      <c r="G162" s="19">
        <v>5</v>
      </c>
      <c r="H162" s="26">
        <f t="shared" si="6"/>
        <v>14629.43</v>
      </c>
      <c r="I162" s="26">
        <f t="shared" si="7"/>
        <v>10000</v>
      </c>
    </row>
    <row r="163" spans="1:9" ht="18.75" customHeight="1" x14ac:dyDescent="0.25">
      <c r="A163" s="21">
        <v>160</v>
      </c>
      <c r="B163" s="25" t="s">
        <v>174</v>
      </c>
      <c r="C163" s="19">
        <v>40</v>
      </c>
      <c r="D163" s="20">
        <f>SUM($C$3:C162)+C163/2</f>
        <v>2030</v>
      </c>
      <c r="E163" s="20">
        <f t="shared" si="5"/>
        <v>1355.4324593791916</v>
      </c>
      <c r="F163" s="19">
        <v>21</v>
      </c>
      <c r="G163" s="19">
        <v>5</v>
      </c>
      <c r="H163" s="26">
        <f t="shared" si="6"/>
        <v>14853.229999999998</v>
      </c>
      <c r="I163" s="26">
        <f t="shared" si="7"/>
        <v>10000</v>
      </c>
    </row>
    <row r="164" spans="1:9" ht="18.75" customHeight="1" x14ac:dyDescent="0.25">
      <c r="A164" s="21">
        <v>161</v>
      </c>
      <c r="B164" s="25" t="s">
        <v>175</v>
      </c>
      <c r="C164" s="19">
        <v>40</v>
      </c>
      <c r="D164" s="20">
        <f>SUM($C$3:C163)+C164/2</f>
        <v>2070</v>
      </c>
      <c r="E164" s="20">
        <f t="shared" ref="E164:E227" si="8">($E$262-$E$35)/($D$262-$D$35)*(D164-$D$35)+$E$35</f>
        <v>1371.4703254849724</v>
      </c>
      <c r="F164" s="19">
        <v>21</v>
      </c>
      <c r="G164" s="19">
        <v>5</v>
      </c>
      <c r="H164" s="26">
        <f t="shared" ref="H164:H227" si="9">2/3*(240*19+(D164-240)*21-(D164-4.5)*9.81)</f>
        <v>15151.63</v>
      </c>
      <c r="I164" s="26">
        <f t="shared" si="7"/>
        <v>20000</v>
      </c>
    </row>
    <row r="165" spans="1:9" ht="18.75" customHeight="1" x14ac:dyDescent="0.25">
      <c r="A165" s="21">
        <v>162</v>
      </c>
      <c r="B165" s="25" t="s">
        <v>176</v>
      </c>
      <c r="C165" s="19">
        <v>40</v>
      </c>
      <c r="D165" s="20">
        <f>SUM($C$3:C164)+C165/2</f>
        <v>2110</v>
      </c>
      <c r="E165" s="20">
        <f t="shared" si="8"/>
        <v>1387.5081915907526</v>
      </c>
      <c r="F165" s="19">
        <v>21</v>
      </c>
      <c r="G165" s="19">
        <v>5</v>
      </c>
      <c r="H165" s="26">
        <f t="shared" si="9"/>
        <v>15450.029999999999</v>
      </c>
      <c r="I165" s="26">
        <f t="shared" si="7"/>
        <v>20000</v>
      </c>
    </row>
    <row r="166" spans="1:9" ht="18.75" customHeight="1" x14ac:dyDescent="0.25">
      <c r="A166" s="21">
        <v>163</v>
      </c>
      <c r="B166" s="25" t="s">
        <v>177</v>
      </c>
      <c r="C166" s="19">
        <v>40</v>
      </c>
      <c r="D166" s="20">
        <f>SUM($C$3:C165)+C166/2</f>
        <v>2150</v>
      </c>
      <c r="E166" s="20">
        <f t="shared" si="8"/>
        <v>1403.5460576965331</v>
      </c>
      <c r="F166" s="19">
        <v>21</v>
      </c>
      <c r="G166" s="19">
        <v>5</v>
      </c>
      <c r="H166" s="26">
        <f t="shared" si="9"/>
        <v>15748.43</v>
      </c>
      <c r="I166" s="26">
        <f t="shared" si="7"/>
        <v>20000</v>
      </c>
    </row>
    <row r="167" spans="1:9" ht="18.75" customHeight="1" x14ac:dyDescent="0.25">
      <c r="A167" s="21">
        <v>164</v>
      </c>
      <c r="B167" s="25" t="s">
        <v>178</v>
      </c>
      <c r="C167" s="19">
        <v>40</v>
      </c>
      <c r="D167" s="20">
        <f>SUM($C$3:C166)+C167/2</f>
        <v>2190</v>
      </c>
      <c r="E167" s="20">
        <f t="shared" si="8"/>
        <v>1419.5839238023136</v>
      </c>
      <c r="F167" s="19">
        <v>21</v>
      </c>
      <c r="G167" s="19">
        <v>5</v>
      </c>
      <c r="H167" s="26">
        <f t="shared" si="9"/>
        <v>16046.829999999998</v>
      </c>
      <c r="I167" s="26">
        <f t="shared" si="7"/>
        <v>20000</v>
      </c>
    </row>
    <row r="168" spans="1:9" ht="18.75" customHeight="1" x14ac:dyDescent="0.25">
      <c r="A168" s="21">
        <v>165</v>
      </c>
      <c r="B168" s="25" t="s">
        <v>179</v>
      </c>
      <c r="C168" s="19">
        <v>40</v>
      </c>
      <c r="D168" s="20">
        <f>SUM($C$3:C167)+C168/2</f>
        <v>2230</v>
      </c>
      <c r="E168" s="20">
        <f t="shared" si="8"/>
        <v>1435.6217899080941</v>
      </c>
      <c r="F168" s="19">
        <v>21</v>
      </c>
      <c r="G168" s="19">
        <v>5</v>
      </c>
      <c r="H168" s="26">
        <f t="shared" si="9"/>
        <v>16345.229999999998</v>
      </c>
      <c r="I168" s="26">
        <f t="shared" si="7"/>
        <v>20000</v>
      </c>
    </row>
    <row r="169" spans="1:9" ht="18.75" customHeight="1" x14ac:dyDescent="0.25">
      <c r="A169" s="21">
        <v>166</v>
      </c>
      <c r="B169" s="25" t="s">
        <v>180</v>
      </c>
      <c r="C169" s="19">
        <v>40</v>
      </c>
      <c r="D169" s="20">
        <f>SUM($C$3:C168)+C169/2</f>
        <v>2270</v>
      </c>
      <c r="E169" s="20">
        <f t="shared" si="8"/>
        <v>1451.6596560138746</v>
      </c>
      <c r="F169" s="19">
        <v>21</v>
      </c>
      <c r="G169" s="19">
        <v>5</v>
      </c>
      <c r="H169" s="26">
        <f t="shared" si="9"/>
        <v>16643.629999999997</v>
      </c>
      <c r="I169" s="26">
        <f t="shared" si="7"/>
        <v>20000</v>
      </c>
    </row>
    <row r="170" spans="1:9" ht="18.75" customHeight="1" x14ac:dyDescent="0.25">
      <c r="A170" s="21">
        <v>167</v>
      </c>
      <c r="B170" s="25" t="s">
        <v>181</v>
      </c>
      <c r="C170" s="19">
        <v>40</v>
      </c>
      <c r="D170" s="20">
        <f>SUM($C$3:C169)+C170/2</f>
        <v>2310</v>
      </c>
      <c r="E170" s="20">
        <f t="shared" si="8"/>
        <v>1467.6975221196549</v>
      </c>
      <c r="F170" s="19">
        <v>21</v>
      </c>
      <c r="G170" s="19">
        <v>5</v>
      </c>
      <c r="H170" s="26">
        <f t="shared" si="9"/>
        <v>16942.03</v>
      </c>
      <c r="I170" s="26">
        <f t="shared" si="7"/>
        <v>20000</v>
      </c>
    </row>
    <row r="171" spans="1:9" ht="18.75" customHeight="1" x14ac:dyDescent="0.25">
      <c r="A171" s="21">
        <v>168</v>
      </c>
      <c r="B171" s="25" t="s">
        <v>182</v>
      </c>
      <c r="C171" s="19">
        <v>40</v>
      </c>
      <c r="D171" s="20">
        <f>SUM($C$3:C170)+C171/2</f>
        <v>2350</v>
      </c>
      <c r="E171" s="20">
        <f t="shared" si="8"/>
        <v>1483.7353882254356</v>
      </c>
      <c r="F171" s="19">
        <v>21</v>
      </c>
      <c r="G171" s="19">
        <v>5</v>
      </c>
      <c r="H171" s="26">
        <f t="shared" si="9"/>
        <v>17240.43</v>
      </c>
      <c r="I171" s="26">
        <f t="shared" si="7"/>
        <v>20000</v>
      </c>
    </row>
    <row r="172" spans="1:9" ht="18.75" customHeight="1" x14ac:dyDescent="0.25">
      <c r="A172" s="21">
        <v>169</v>
      </c>
      <c r="B172" s="25" t="s">
        <v>183</v>
      </c>
      <c r="C172" s="19">
        <v>40</v>
      </c>
      <c r="D172" s="20">
        <f>SUM($C$3:C171)+C172/2</f>
        <v>2390</v>
      </c>
      <c r="E172" s="20">
        <f t="shared" si="8"/>
        <v>1499.7732543312159</v>
      </c>
      <c r="F172" s="19">
        <v>21</v>
      </c>
      <c r="G172" s="19">
        <v>5</v>
      </c>
      <c r="H172" s="26">
        <f t="shared" si="9"/>
        <v>17538.829999999998</v>
      </c>
      <c r="I172" s="26">
        <f t="shared" si="7"/>
        <v>20000</v>
      </c>
    </row>
    <row r="173" spans="1:9" ht="18.75" customHeight="1" x14ac:dyDescent="0.25">
      <c r="A173" s="21">
        <v>170</v>
      </c>
      <c r="B173" s="25" t="s">
        <v>184</v>
      </c>
      <c r="C173" s="19">
        <v>40</v>
      </c>
      <c r="D173" s="20">
        <f>SUM($C$3:C172)+C173/2</f>
        <v>2430</v>
      </c>
      <c r="E173" s="20">
        <f t="shared" si="8"/>
        <v>1515.8111204369964</v>
      </c>
      <c r="F173" s="19">
        <v>21</v>
      </c>
      <c r="G173" s="19">
        <v>5</v>
      </c>
      <c r="H173" s="26">
        <f t="shared" si="9"/>
        <v>17837.229999999996</v>
      </c>
      <c r="I173" s="26">
        <f t="shared" si="7"/>
        <v>20000</v>
      </c>
    </row>
    <row r="174" spans="1:9" ht="18.75" customHeight="1" x14ac:dyDescent="0.25">
      <c r="A174" s="21">
        <v>171</v>
      </c>
      <c r="B174" s="25" t="s">
        <v>185</v>
      </c>
      <c r="C174" s="19">
        <v>40</v>
      </c>
      <c r="D174" s="20">
        <f>SUM($C$3:C173)+C174/2</f>
        <v>2470</v>
      </c>
      <c r="E174" s="20">
        <f t="shared" si="8"/>
        <v>1531.8489865427769</v>
      </c>
      <c r="F174" s="19">
        <v>21</v>
      </c>
      <c r="G174" s="19">
        <v>5</v>
      </c>
      <c r="H174" s="26">
        <f t="shared" si="9"/>
        <v>18135.629999999997</v>
      </c>
      <c r="I174" s="26">
        <f t="shared" si="7"/>
        <v>20000</v>
      </c>
    </row>
    <row r="175" spans="1:9" ht="18.75" customHeight="1" x14ac:dyDescent="0.25">
      <c r="A175" s="21">
        <v>172</v>
      </c>
      <c r="B175" s="25" t="s">
        <v>186</v>
      </c>
      <c r="C175" s="19">
        <v>40</v>
      </c>
      <c r="D175" s="20">
        <f>SUM($C$3:C174)+C175/2</f>
        <v>2510</v>
      </c>
      <c r="E175" s="20">
        <f t="shared" si="8"/>
        <v>1547.8868526485574</v>
      </c>
      <c r="F175" s="19">
        <v>21</v>
      </c>
      <c r="G175" s="19">
        <v>5</v>
      </c>
      <c r="H175" s="26">
        <f t="shared" si="9"/>
        <v>18434.03</v>
      </c>
      <c r="I175" s="26">
        <f t="shared" si="7"/>
        <v>20000</v>
      </c>
    </row>
    <row r="176" spans="1:9" ht="18.75" customHeight="1" x14ac:dyDescent="0.25">
      <c r="A176" s="21">
        <v>173</v>
      </c>
      <c r="B176" s="25" t="s">
        <v>187</v>
      </c>
      <c r="C176" s="19">
        <v>40</v>
      </c>
      <c r="D176" s="20">
        <f>SUM($C$3:C175)+C176/2</f>
        <v>2550</v>
      </c>
      <c r="E176" s="20">
        <f t="shared" si="8"/>
        <v>1563.9247187543378</v>
      </c>
      <c r="F176" s="19">
        <v>21</v>
      </c>
      <c r="G176" s="19">
        <v>5</v>
      </c>
      <c r="H176" s="26">
        <f t="shared" si="9"/>
        <v>18732.43</v>
      </c>
      <c r="I176" s="26">
        <f t="shared" si="7"/>
        <v>20000</v>
      </c>
    </row>
    <row r="177" spans="1:9" ht="18.75" customHeight="1" x14ac:dyDescent="0.25">
      <c r="A177" s="21">
        <v>174</v>
      </c>
      <c r="B177" s="25" t="s">
        <v>188</v>
      </c>
      <c r="C177" s="19">
        <v>40</v>
      </c>
      <c r="D177" s="20">
        <f>SUM($C$3:C176)+C177/2</f>
        <v>2590</v>
      </c>
      <c r="E177" s="20">
        <f t="shared" si="8"/>
        <v>1579.9625848601181</v>
      </c>
      <c r="F177" s="19">
        <v>21</v>
      </c>
      <c r="G177" s="19">
        <v>5</v>
      </c>
      <c r="H177" s="26">
        <f t="shared" si="9"/>
        <v>19030.829999999998</v>
      </c>
      <c r="I177" s="26">
        <f t="shared" si="7"/>
        <v>20000</v>
      </c>
    </row>
    <row r="178" spans="1:9" ht="18.75" customHeight="1" x14ac:dyDescent="0.25">
      <c r="A178" s="21">
        <v>175</v>
      </c>
      <c r="B178" s="25" t="s">
        <v>189</v>
      </c>
      <c r="C178" s="19">
        <v>40</v>
      </c>
      <c r="D178" s="20">
        <f>SUM($C$3:C177)+C178/2</f>
        <v>2630</v>
      </c>
      <c r="E178" s="20">
        <f t="shared" si="8"/>
        <v>1596.0004509658988</v>
      </c>
      <c r="F178" s="19">
        <v>21</v>
      </c>
      <c r="G178" s="19">
        <v>5</v>
      </c>
      <c r="H178" s="26">
        <f t="shared" si="9"/>
        <v>19329.229999999996</v>
      </c>
      <c r="I178" s="26">
        <f t="shared" si="7"/>
        <v>20000</v>
      </c>
    </row>
    <row r="179" spans="1:9" ht="18.75" customHeight="1" x14ac:dyDescent="0.25">
      <c r="A179" s="21">
        <v>176</v>
      </c>
      <c r="B179" s="25" t="s">
        <v>190</v>
      </c>
      <c r="C179" s="19">
        <v>40</v>
      </c>
      <c r="D179" s="20">
        <f>SUM($C$3:C178)+C179/2</f>
        <v>2670</v>
      </c>
      <c r="E179" s="20">
        <f t="shared" si="8"/>
        <v>1612.0383170716791</v>
      </c>
      <c r="F179" s="19">
        <v>21</v>
      </c>
      <c r="G179" s="19">
        <v>5</v>
      </c>
      <c r="H179" s="26">
        <f t="shared" si="9"/>
        <v>19627.629999999997</v>
      </c>
      <c r="I179" s="26">
        <f t="shared" si="7"/>
        <v>20000</v>
      </c>
    </row>
    <row r="180" spans="1:9" ht="18.75" customHeight="1" x14ac:dyDescent="0.25">
      <c r="A180" s="21">
        <v>177</v>
      </c>
      <c r="B180" s="25" t="s">
        <v>191</v>
      </c>
      <c r="C180" s="19">
        <v>40</v>
      </c>
      <c r="D180" s="20">
        <f>SUM($C$3:C179)+C180/2</f>
        <v>2710</v>
      </c>
      <c r="E180" s="20">
        <f t="shared" si="8"/>
        <v>1628.0761831774598</v>
      </c>
      <c r="F180" s="19">
        <v>21</v>
      </c>
      <c r="G180" s="19">
        <v>5</v>
      </c>
      <c r="H180" s="26">
        <f t="shared" si="9"/>
        <v>19926.03</v>
      </c>
      <c r="I180" s="26">
        <f t="shared" si="7"/>
        <v>20000</v>
      </c>
    </row>
    <row r="181" spans="1:9" ht="18.75" customHeight="1" x14ac:dyDescent="0.25">
      <c r="A181" s="21">
        <v>178</v>
      </c>
      <c r="B181" s="25" t="s">
        <v>192</v>
      </c>
      <c r="C181" s="19">
        <v>40</v>
      </c>
      <c r="D181" s="20">
        <f>SUM($C$3:C180)+C181/2</f>
        <v>2750</v>
      </c>
      <c r="E181" s="20">
        <f t="shared" si="8"/>
        <v>1644.1140492832401</v>
      </c>
      <c r="F181" s="19">
        <v>21</v>
      </c>
      <c r="G181" s="19">
        <v>5</v>
      </c>
      <c r="H181" s="26">
        <f t="shared" si="9"/>
        <v>20224.43</v>
      </c>
      <c r="I181" s="26">
        <f t="shared" si="7"/>
        <v>20000</v>
      </c>
    </row>
    <row r="182" spans="1:9" ht="18.75" customHeight="1" x14ac:dyDescent="0.25">
      <c r="A182" s="21">
        <v>179</v>
      </c>
      <c r="B182" s="25" t="s">
        <v>193</v>
      </c>
      <c r="C182" s="19">
        <v>40</v>
      </c>
      <c r="D182" s="20">
        <f>SUM($C$3:C181)+C182/2</f>
        <v>2790</v>
      </c>
      <c r="E182" s="20">
        <f t="shared" si="8"/>
        <v>1660.1519153890206</v>
      </c>
      <c r="F182" s="19">
        <v>21</v>
      </c>
      <c r="G182" s="19">
        <v>5</v>
      </c>
      <c r="H182" s="26">
        <f t="shared" si="9"/>
        <v>20522.829999999998</v>
      </c>
      <c r="I182" s="26">
        <f t="shared" si="7"/>
        <v>20000</v>
      </c>
    </row>
    <row r="183" spans="1:9" ht="18.75" customHeight="1" x14ac:dyDescent="0.25">
      <c r="A183" s="21">
        <v>180</v>
      </c>
      <c r="B183" s="25" t="s">
        <v>194</v>
      </c>
      <c r="C183" s="19">
        <v>40</v>
      </c>
      <c r="D183" s="20">
        <f>SUM($C$3:C182)+C183/2</f>
        <v>2830</v>
      </c>
      <c r="E183" s="20">
        <f t="shared" si="8"/>
        <v>1676.1897814948011</v>
      </c>
      <c r="F183" s="19">
        <v>21</v>
      </c>
      <c r="G183" s="19">
        <v>5</v>
      </c>
      <c r="H183" s="26">
        <f t="shared" si="9"/>
        <v>20821.229999999996</v>
      </c>
      <c r="I183" s="26">
        <f t="shared" si="7"/>
        <v>20000</v>
      </c>
    </row>
    <row r="184" spans="1:9" ht="18.75" customHeight="1" x14ac:dyDescent="0.25">
      <c r="A184" s="21">
        <v>181</v>
      </c>
      <c r="B184" s="25" t="s">
        <v>195</v>
      </c>
      <c r="C184" s="19">
        <v>40</v>
      </c>
      <c r="D184" s="20">
        <f>SUM($C$3:C183)+C184/2</f>
        <v>2870</v>
      </c>
      <c r="E184" s="20">
        <f t="shared" si="8"/>
        <v>1692.2276476005816</v>
      </c>
      <c r="F184" s="19">
        <v>21</v>
      </c>
      <c r="G184" s="19">
        <v>5</v>
      </c>
      <c r="H184" s="26">
        <f t="shared" si="9"/>
        <v>21119.629999999997</v>
      </c>
      <c r="I184" s="26">
        <f t="shared" si="7"/>
        <v>20000</v>
      </c>
    </row>
    <row r="185" spans="1:9" ht="18.75" customHeight="1" x14ac:dyDescent="0.25">
      <c r="A185" s="21">
        <v>182</v>
      </c>
      <c r="B185" s="25" t="s">
        <v>196</v>
      </c>
      <c r="C185" s="19">
        <v>40</v>
      </c>
      <c r="D185" s="20">
        <f>SUM($C$3:C184)+C185/2</f>
        <v>2910</v>
      </c>
      <c r="E185" s="20">
        <f t="shared" si="8"/>
        <v>1708.2655137063621</v>
      </c>
      <c r="F185" s="19">
        <v>21</v>
      </c>
      <c r="G185" s="19">
        <v>5</v>
      </c>
      <c r="H185" s="26">
        <f t="shared" si="9"/>
        <v>21418.03</v>
      </c>
      <c r="I185" s="26">
        <f t="shared" si="7"/>
        <v>20000</v>
      </c>
    </row>
    <row r="186" spans="1:9" ht="18.75" customHeight="1" x14ac:dyDescent="0.25">
      <c r="A186" s="21">
        <v>183</v>
      </c>
      <c r="B186" s="25" t="s">
        <v>197</v>
      </c>
      <c r="C186" s="19">
        <v>40</v>
      </c>
      <c r="D186" s="20">
        <f>SUM($C$3:C185)+C186/2</f>
        <v>2950</v>
      </c>
      <c r="E186" s="20">
        <f t="shared" si="8"/>
        <v>1724.3033798121423</v>
      </c>
      <c r="F186" s="19">
        <v>21</v>
      </c>
      <c r="G186" s="19">
        <v>5</v>
      </c>
      <c r="H186" s="26">
        <f t="shared" si="9"/>
        <v>21716.429999999997</v>
      </c>
      <c r="I186" s="26">
        <f t="shared" si="7"/>
        <v>20000</v>
      </c>
    </row>
    <row r="187" spans="1:9" ht="18.75" customHeight="1" x14ac:dyDescent="0.25">
      <c r="A187" s="21">
        <v>184</v>
      </c>
      <c r="B187" s="25" t="s">
        <v>198</v>
      </c>
      <c r="C187" s="19">
        <v>40</v>
      </c>
      <c r="D187" s="20">
        <f>SUM($C$3:C186)+C187/2</f>
        <v>2990</v>
      </c>
      <c r="E187" s="20">
        <f t="shared" si="8"/>
        <v>1740.3412459179228</v>
      </c>
      <c r="F187" s="19">
        <v>21</v>
      </c>
      <c r="G187" s="19">
        <v>5</v>
      </c>
      <c r="H187" s="26">
        <f t="shared" si="9"/>
        <v>22014.829999999994</v>
      </c>
      <c r="I187" s="26">
        <f t="shared" si="7"/>
        <v>20000</v>
      </c>
    </row>
    <row r="188" spans="1:9" ht="18.75" customHeight="1" x14ac:dyDescent="0.25">
      <c r="A188" s="21">
        <v>185</v>
      </c>
      <c r="B188" s="25" t="s">
        <v>199</v>
      </c>
      <c r="C188" s="19">
        <v>40</v>
      </c>
      <c r="D188" s="20">
        <f>SUM($C$3:C187)+C188/2</f>
        <v>3030</v>
      </c>
      <c r="E188" s="20">
        <f t="shared" si="8"/>
        <v>1756.3791120237033</v>
      </c>
      <c r="F188" s="19">
        <v>21</v>
      </c>
      <c r="G188" s="19">
        <v>5</v>
      </c>
      <c r="H188" s="26">
        <f t="shared" si="9"/>
        <v>22313.23</v>
      </c>
      <c r="I188" s="26">
        <f t="shared" si="7"/>
        <v>20000</v>
      </c>
    </row>
    <row r="189" spans="1:9" ht="18.75" customHeight="1" x14ac:dyDescent="0.25">
      <c r="A189" s="21">
        <v>186</v>
      </c>
      <c r="B189" s="25" t="s">
        <v>200</v>
      </c>
      <c r="C189" s="19">
        <v>40</v>
      </c>
      <c r="D189" s="20">
        <f>SUM($C$3:C188)+C189/2</f>
        <v>3070</v>
      </c>
      <c r="E189" s="20">
        <f t="shared" si="8"/>
        <v>1772.4169781294838</v>
      </c>
      <c r="F189" s="19">
        <v>21</v>
      </c>
      <c r="G189" s="19">
        <v>5</v>
      </c>
      <c r="H189" s="26">
        <f t="shared" si="9"/>
        <v>22611.629999999997</v>
      </c>
      <c r="I189" s="26">
        <f t="shared" si="7"/>
        <v>20000</v>
      </c>
    </row>
    <row r="190" spans="1:9" ht="18.75" customHeight="1" x14ac:dyDescent="0.25">
      <c r="A190" s="21">
        <v>187</v>
      </c>
      <c r="B190" s="25" t="s">
        <v>201</v>
      </c>
      <c r="C190" s="19">
        <v>40</v>
      </c>
      <c r="D190" s="20">
        <f>SUM($C$3:C189)+C190/2</f>
        <v>3110</v>
      </c>
      <c r="E190" s="20">
        <f t="shared" si="8"/>
        <v>1788.4548442352643</v>
      </c>
      <c r="F190" s="19">
        <v>21</v>
      </c>
      <c r="G190" s="19">
        <v>5</v>
      </c>
      <c r="H190" s="26">
        <f t="shared" si="9"/>
        <v>22910.03</v>
      </c>
      <c r="I190" s="26">
        <f t="shared" si="7"/>
        <v>20000</v>
      </c>
    </row>
    <row r="191" spans="1:9" ht="18.75" customHeight="1" x14ac:dyDescent="0.25">
      <c r="A191" s="21">
        <v>188</v>
      </c>
      <c r="B191" s="25" t="s">
        <v>202</v>
      </c>
      <c r="C191" s="19">
        <v>40</v>
      </c>
      <c r="D191" s="20">
        <f>SUM($C$3:C190)+C191/2</f>
        <v>3150</v>
      </c>
      <c r="E191" s="20">
        <f t="shared" si="8"/>
        <v>1804.4927103410448</v>
      </c>
      <c r="F191" s="19">
        <v>21</v>
      </c>
      <c r="G191" s="19">
        <v>5</v>
      </c>
      <c r="H191" s="26">
        <f t="shared" si="9"/>
        <v>23208.429999999997</v>
      </c>
      <c r="I191" s="26">
        <f t="shared" si="7"/>
        <v>20000</v>
      </c>
    </row>
    <row r="192" spans="1:9" ht="18.75" customHeight="1" x14ac:dyDescent="0.25">
      <c r="A192" s="21">
        <v>189</v>
      </c>
      <c r="B192" s="25" t="s">
        <v>203</v>
      </c>
      <c r="C192" s="19">
        <v>40</v>
      </c>
      <c r="D192" s="20">
        <f>SUM($C$3:C191)+C192/2</f>
        <v>3190</v>
      </c>
      <c r="E192" s="20">
        <f t="shared" si="8"/>
        <v>1820.5305764468253</v>
      </c>
      <c r="F192" s="19">
        <v>21</v>
      </c>
      <c r="G192" s="19">
        <v>5</v>
      </c>
      <c r="H192" s="26">
        <f t="shared" si="9"/>
        <v>23506.829999999994</v>
      </c>
      <c r="I192" s="26">
        <f t="shared" si="7"/>
        <v>20000</v>
      </c>
    </row>
    <row r="193" spans="1:9" ht="18.75" customHeight="1" x14ac:dyDescent="0.25">
      <c r="A193" s="21">
        <v>190</v>
      </c>
      <c r="B193" s="25" t="s">
        <v>204</v>
      </c>
      <c r="C193" s="19">
        <v>40</v>
      </c>
      <c r="D193" s="20">
        <f>SUM($C$3:C192)+C193/2</f>
        <v>3230</v>
      </c>
      <c r="E193" s="20">
        <f t="shared" si="8"/>
        <v>1836.5684425526058</v>
      </c>
      <c r="F193" s="19">
        <v>21</v>
      </c>
      <c r="G193" s="19">
        <v>5</v>
      </c>
      <c r="H193" s="26">
        <f t="shared" si="9"/>
        <v>23805.23</v>
      </c>
      <c r="I193" s="26">
        <f t="shared" si="7"/>
        <v>20000</v>
      </c>
    </row>
    <row r="194" spans="1:9" ht="18.75" customHeight="1" x14ac:dyDescent="0.25">
      <c r="A194" s="21">
        <v>191</v>
      </c>
      <c r="B194" s="25" t="s">
        <v>205</v>
      </c>
      <c r="C194" s="19">
        <v>40</v>
      </c>
      <c r="D194" s="20">
        <f>SUM($C$3:C193)+C194/2</f>
        <v>3270</v>
      </c>
      <c r="E194" s="20">
        <f t="shared" si="8"/>
        <v>1852.6063086583861</v>
      </c>
      <c r="F194" s="19">
        <v>21</v>
      </c>
      <c r="G194" s="19">
        <v>5</v>
      </c>
      <c r="H194" s="26">
        <f t="shared" si="9"/>
        <v>24103.629999999997</v>
      </c>
      <c r="I194" s="26">
        <f t="shared" si="7"/>
        <v>20000</v>
      </c>
    </row>
    <row r="195" spans="1:9" ht="18.75" customHeight="1" x14ac:dyDescent="0.25">
      <c r="A195" s="21">
        <v>192</v>
      </c>
      <c r="B195" s="25" t="s">
        <v>206</v>
      </c>
      <c r="C195" s="19">
        <v>40</v>
      </c>
      <c r="D195" s="20">
        <f>SUM($C$3:C194)+C195/2</f>
        <v>3310</v>
      </c>
      <c r="E195" s="20">
        <f t="shared" si="8"/>
        <v>1868.6441747641666</v>
      </c>
      <c r="F195" s="19">
        <v>21</v>
      </c>
      <c r="G195" s="19">
        <v>5</v>
      </c>
      <c r="H195" s="26">
        <f t="shared" si="9"/>
        <v>24402.03</v>
      </c>
      <c r="I195" s="26">
        <f t="shared" si="7"/>
        <v>20000</v>
      </c>
    </row>
    <row r="196" spans="1:9" ht="18.75" customHeight="1" x14ac:dyDescent="0.25">
      <c r="A196" s="21">
        <v>193</v>
      </c>
      <c r="B196" s="25" t="s">
        <v>207</v>
      </c>
      <c r="C196" s="19">
        <v>40</v>
      </c>
      <c r="D196" s="20">
        <f>SUM($C$3:C195)+C196/2</f>
        <v>3350</v>
      </c>
      <c r="E196" s="20">
        <f t="shared" si="8"/>
        <v>1884.6820408699471</v>
      </c>
      <c r="F196" s="19">
        <v>21</v>
      </c>
      <c r="G196" s="19">
        <v>5</v>
      </c>
      <c r="H196" s="26">
        <f t="shared" si="9"/>
        <v>24700.429999999997</v>
      </c>
      <c r="I196" s="26">
        <f t="shared" si="7"/>
        <v>20000</v>
      </c>
    </row>
    <row r="197" spans="1:9" ht="18.75" customHeight="1" x14ac:dyDescent="0.25">
      <c r="A197" s="21">
        <v>194</v>
      </c>
      <c r="B197" s="25" t="s">
        <v>208</v>
      </c>
      <c r="C197" s="19">
        <v>40</v>
      </c>
      <c r="D197" s="20">
        <f>SUM($C$3:C196)+C197/2</f>
        <v>3390</v>
      </c>
      <c r="E197" s="20">
        <f t="shared" si="8"/>
        <v>1900.7199069757276</v>
      </c>
      <c r="F197" s="19">
        <v>21</v>
      </c>
      <c r="G197" s="19">
        <v>5</v>
      </c>
      <c r="H197" s="26">
        <f t="shared" si="9"/>
        <v>24998.829999999994</v>
      </c>
      <c r="I197" s="26">
        <f t="shared" si="7"/>
        <v>20000</v>
      </c>
    </row>
    <row r="198" spans="1:9" ht="18.75" customHeight="1" x14ac:dyDescent="0.25">
      <c r="A198" s="21">
        <v>195</v>
      </c>
      <c r="B198" s="25" t="s">
        <v>209</v>
      </c>
      <c r="C198" s="19">
        <v>40</v>
      </c>
      <c r="D198" s="20">
        <f>SUM($C$3:C197)+C198/2</f>
        <v>3430</v>
      </c>
      <c r="E198" s="20">
        <f t="shared" si="8"/>
        <v>1916.757773081508</v>
      </c>
      <c r="F198" s="19">
        <v>21</v>
      </c>
      <c r="G198" s="19">
        <v>5</v>
      </c>
      <c r="H198" s="26">
        <f t="shared" si="9"/>
        <v>25297.23</v>
      </c>
      <c r="I198" s="26">
        <f t="shared" si="7"/>
        <v>30000</v>
      </c>
    </row>
    <row r="199" spans="1:9" ht="18.75" customHeight="1" x14ac:dyDescent="0.25">
      <c r="A199" s="21">
        <v>196</v>
      </c>
      <c r="B199" s="25" t="s">
        <v>210</v>
      </c>
      <c r="C199" s="19">
        <v>40</v>
      </c>
      <c r="D199" s="20">
        <f>SUM($C$3:C198)+C199/2</f>
        <v>3470</v>
      </c>
      <c r="E199" s="20">
        <f t="shared" si="8"/>
        <v>1932.7956391872885</v>
      </c>
      <c r="F199" s="19">
        <v>21</v>
      </c>
      <c r="G199" s="19">
        <v>5</v>
      </c>
      <c r="H199" s="26">
        <f t="shared" si="9"/>
        <v>25595.629999999997</v>
      </c>
      <c r="I199" s="26">
        <f t="shared" si="7"/>
        <v>30000</v>
      </c>
    </row>
    <row r="200" spans="1:9" ht="18.75" customHeight="1" x14ac:dyDescent="0.25">
      <c r="A200" s="21">
        <v>197</v>
      </c>
      <c r="B200" s="25" t="s">
        <v>211</v>
      </c>
      <c r="C200" s="19">
        <v>40</v>
      </c>
      <c r="D200" s="20">
        <f>SUM($C$3:C199)+C200/2</f>
        <v>3510</v>
      </c>
      <c r="E200" s="20">
        <f t="shared" si="8"/>
        <v>1948.833505293069</v>
      </c>
      <c r="F200" s="19">
        <v>21</v>
      </c>
      <c r="G200" s="19">
        <v>5</v>
      </c>
      <c r="H200" s="26">
        <f t="shared" si="9"/>
        <v>25894.03</v>
      </c>
      <c r="I200" s="26">
        <f t="shared" si="7"/>
        <v>30000</v>
      </c>
    </row>
    <row r="201" spans="1:9" ht="18.75" customHeight="1" x14ac:dyDescent="0.25">
      <c r="A201" s="21">
        <v>198</v>
      </c>
      <c r="B201" s="25" t="s">
        <v>212</v>
      </c>
      <c r="C201" s="19">
        <v>40</v>
      </c>
      <c r="D201" s="20">
        <f>SUM($C$3:C200)+C201/2</f>
        <v>3550</v>
      </c>
      <c r="E201" s="20">
        <f t="shared" si="8"/>
        <v>1964.8713713988495</v>
      </c>
      <c r="F201" s="19">
        <v>21</v>
      </c>
      <c r="G201" s="19">
        <v>5</v>
      </c>
      <c r="H201" s="26">
        <f t="shared" si="9"/>
        <v>26192.429999999997</v>
      </c>
      <c r="I201" s="26">
        <f t="shared" si="7"/>
        <v>30000</v>
      </c>
    </row>
    <row r="202" spans="1:9" ht="18.75" customHeight="1" x14ac:dyDescent="0.25">
      <c r="A202" s="21">
        <v>199</v>
      </c>
      <c r="B202" s="25" t="s">
        <v>213</v>
      </c>
      <c r="C202" s="19">
        <v>40</v>
      </c>
      <c r="D202" s="20">
        <f>SUM($C$3:C201)+C202/2</f>
        <v>3590</v>
      </c>
      <c r="E202" s="20">
        <f t="shared" si="8"/>
        <v>1980.9092375046298</v>
      </c>
      <c r="F202" s="19">
        <v>21</v>
      </c>
      <c r="G202" s="19">
        <v>5</v>
      </c>
      <c r="H202" s="26">
        <f t="shared" si="9"/>
        <v>26490.829999999994</v>
      </c>
      <c r="I202" s="26">
        <f t="shared" si="7"/>
        <v>30000</v>
      </c>
    </row>
    <row r="203" spans="1:9" ht="18.75" customHeight="1" x14ac:dyDescent="0.25">
      <c r="A203" s="21">
        <v>200</v>
      </c>
      <c r="B203" s="25" t="s">
        <v>214</v>
      </c>
      <c r="C203" s="19">
        <v>40</v>
      </c>
      <c r="D203" s="20">
        <f>SUM($C$3:C202)+C203/2</f>
        <v>3630</v>
      </c>
      <c r="E203" s="20">
        <f t="shared" si="8"/>
        <v>1996.9471036104103</v>
      </c>
      <c r="F203" s="19">
        <v>21</v>
      </c>
      <c r="G203" s="19">
        <v>5</v>
      </c>
      <c r="H203" s="26">
        <f t="shared" si="9"/>
        <v>26789.23</v>
      </c>
      <c r="I203" s="26">
        <f t="shared" si="7"/>
        <v>30000</v>
      </c>
    </row>
    <row r="204" spans="1:9" ht="18.75" customHeight="1" x14ac:dyDescent="0.25">
      <c r="A204" s="21">
        <v>201</v>
      </c>
      <c r="B204" s="25" t="s">
        <v>215</v>
      </c>
      <c r="C204" s="19">
        <v>40</v>
      </c>
      <c r="D204" s="20">
        <f>SUM($C$3:C203)+C204/2</f>
        <v>3670</v>
      </c>
      <c r="E204" s="20">
        <f t="shared" si="8"/>
        <v>2012.9849697161908</v>
      </c>
      <c r="F204" s="19">
        <v>21</v>
      </c>
      <c r="G204" s="19">
        <v>5</v>
      </c>
      <c r="H204" s="26">
        <f t="shared" si="9"/>
        <v>27087.629999999997</v>
      </c>
      <c r="I204" s="26">
        <f t="shared" si="7"/>
        <v>30000</v>
      </c>
    </row>
    <row r="205" spans="1:9" ht="18.75" customHeight="1" x14ac:dyDescent="0.25">
      <c r="A205" s="21">
        <v>202</v>
      </c>
      <c r="B205" s="25" t="s">
        <v>216</v>
      </c>
      <c r="C205" s="19">
        <v>40</v>
      </c>
      <c r="D205" s="20">
        <f>SUM($C$3:C204)+C205/2</f>
        <v>3710</v>
      </c>
      <c r="E205" s="20">
        <f t="shared" si="8"/>
        <v>2029.0228358219713</v>
      </c>
      <c r="F205" s="19">
        <v>21</v>
      </c>
      <c r="G205" s="19">
        <v>5</v>
      </c>
      <c r="H205" s="26">
        <f t="shared" si="9"/>
        <v>27386.03</v>
      </c>
      <c r="I205" s="26">
        <f t="shared" si="7"/>
        <v>30000</v>
      </c>
    </row>
    <row r="206" spans="1:9" ht="18.75" customHeight="1" x14ac:dyDescent="0.25">
      <c r="A206" s="21">
        <v>203</v>
      </c>
      <c r="B206" s="25" t="s">
        <v>217</v>
      </c>
      <c r="C206" s="19">
        <v>40</v>
      </c>
      <c r="D206" s="20">
        <f>SUM($C$3:C205)+C206/2</f>
        <v>3750</v>
      </c>
      <c r="E206" s="20">
        <f t="shared" si="8"/>
        <v>2045.0607019277518</v>
      </c>
      <c r="F206" s="19">
        <v>21</v>
      </c>
      <c r="G206" s="19">
        <v>5</v>
      </c>
      <c r="H206" s="26">
        <f t="shared" si="9"/>
        <v>27684.429999999997</v>
      </c>
      <c r="I206" s="26">
        <f t="shared" si="7"/>
        <v>30000</v>
      </c>
    </row>
    <row r="207" spans="1:9" ht="18.75" customHeight="1" x14ac:dyDescent="0.25">
      <c r="A207" s="21">
        <v>204</v>
      </c>
      <c r="B207" s="25" t="s">
        <v>218</v>
      </c>
      <c r="C207" s="19">
        <v>40</v>
      </c>
      <c r="D207" s="20">
        <f>SUM($C$3:C206)+C207/2</f>
        <v>3790</v>
      </c>
      <c r="E207" s="20">
        <f t="shared" si="8"/>
        <v>2061.0985680335325</v>
      </c>
      <c r="F207" s="19">
        <v>21</v>
      </c>
      <c r="G207" s="19">
        <v>5</v>
      </c>
      <c r="H207" s="26">
        <f t="shared" si="9"/>
        <v>27982.829999999994</v>
      </c>
      <c r="I207" s="26">
        <f t="shared" si="7"/>
        <v>30000</v>
      </c>
    </row>
    <row r="208" spans="1:9" ht="18.75" customHeight="1" x14ac:dyDescent="0.25">
      <c r="A208" s="21">
        <v>205</v>
      </c>
      <c r="B208" s="25" t="s">
        <v>219</v>
      </c>
      <c r="C208" s="19">
        <v>40</v>
      </c>
      <c r="D208" s="20">
        <f>SUM($C$3:C207)+C208/2</f>
        <v>3830</v>
      </c>
      <c r="E208" s="20">
        <f t="shared" si="8"/>
        <v>2077.1364341393128</v>
      </c>
      <c r="F208" s="19">
        <v>21</v>
      </c>
      <c r="G208" s="19">
        <v>5</v>
      </c>
      <c r="H208" s="26">
        <f t="shared" si="9"/>
        <v>28281.23</v>
      </c>
      <c r="I208" s="26">
        <f t="shared" si="7"/>
        <v>30000</v>
      </c>
    </row>
    <row r="209" spans="1:9" ht="18.75" customHeight="1" x14ac:dyDescent="0.25">
      <c r="A209" s="21">
        <v>206</v>
      </c>
      <c r="B209" s="25" t="s">
        <v>220</v>
      </c>
      <c r="C209" s="19">
        <v>40</v>
      </c>
      <c r="D209" s="20">
        <f>SUM($C$3:C208)+C209/2</f>
        <v>3870</v>
      </c>
      <c r="E209" s="20">
        <f t="shared" si="8"/>
        <v>2093.174300245093</v>
      </c>
      <c r="F209" s="19">
        <v>21</v>
      </c>
      <c r="G209" s="19">
        <v>5</v>
      </c>
      <c r="H209" s="26">
        <f t="shared" si="9"/>
        <v>28579.629999999997</v>
      </c>
      <c r="I209" s="26">
        <f t="shared" si="7"/>
        <v>30000</v>
      </c>
    </row>
    <row r="210" spans="1:9" ht="18.75" customHeight="1" x14ac:dyDescent="0.25">
      <c r="A210" s="21">
        <v>207</v>
      </c>
      <c r="B210" s="25" t="s">
        <v>221</v>
      </c>
      <c r="C210" s="19">
        <v>40</v>
      </c>
      <c r="D210" s="20">
        <f>SUM($C$3:C209)+C210/2</f>
        <v>3910</v>
      </c>
      <c r="E210" s="20">
        <f t="shared" si="8"/>
        <v>2109.2121663508733</v>
      </c>
      <c r="F210" s="19">
        <v>21</v>
      </c>
      <c r="G210" s="19">
        <v>5</v>
      </c>
      <c r="H210" s="26">
        <f t="shared" si="9"/>
        <v>28878.03</v>
      </c>
      <c r="I210" s="26">
        <f t="shared" si="7"/>
        <v>30000</v>
      </c>
    </row>
    <row r="211" spans="1:9" ht="18.75" customHeight="1" x14ac:dyDescent="0.25">
      <c r="A211" s="21">
        <v>208</v>
      </c>
      <c r="B211" s="25" t="s">
        <v>222</v>
      </c>
      <c r="C211" s="19">
        <v>40</v>
      </c>
      <c r="D211" s="20">
        <f>SUM($C$3:C210)+C211/2</f>
        <v>3950</v>
      </c>
      <c r="E211" s="20">
        <f t="shared" si="8"/>
        <v>2125.250032456654</v>
      </c>
      <c r="F211" s="19">
        <v>21</v>
      </c>
      <c r="G211" s="19">
        <v>5</v>
      </c>
      <c r="H211" s="26">
        <f t="shared" si="9"/>
        <v>29176.429999999997</v>
      </c>
      <c r="I211" s="26">
        <f t="shared" ref="I211:I274" si="10">ROUND(H211, -4)</f>
        <v>30000</v>
      </c>
    </row>
    <row r="212" spans="1:9" ht="18.75" customHeight="1" x14ac:dyDescent="0.25">
      <c r="A212" s="21">
        <v>209</v>
      </c>
      <c r="B212" s="25" t="s">
        <v>223</v>
      </c>
      <c r="C212" s="19">
        <v>40</v>
      </c>
      <c r="D212" s="20">
        <f>SUM($C$3:C211)+C212/2</f>
        <v>3990</v>
      </c>
      <c r="E212" s="20">
        <f t="shared" si="8"/>
        <v>2141.2878985624347</v>
      </c>
      <c r="F212" s="19">
        <v>21</v>
      </c>
      <c r="G212" s="19">
        <v>5</v>
      </c>
      <c r="H212" s="26">
        <f t="shared" si="9"/>
        <v>29474.829999999994</v>
      </c>
      <c r="I212" s="26">
        <f t="shared" si="10"/>
        <v>30000</v>
      </c>
    </row>
    <row r="213" spans="1:9" ht="18.75" customHeight="1" x14ac:dyDescent="0.25">
      <c r="A213" s="21">
        <v>210</v>
      </c>
      <c r="B213" s="25" t="s">
        <v>224</v>
      </c>
      <c r="C213" s="19">
        <v>40</v>
      </c>
      <c r="D213" s="20">
        <f>SUM($C$3:C212)+C213/2</f>
        <v>4030</v>
      </c>
      <c r="E213" s="20">
        <f t="shared" si="8"/>
        <v>2157.325764668215</v>
      </c>
      <c r="F213" s="19">
        <v>21</v>
      </c>
      <c r="G213" s="19">
        <v>5</v>
      </c>
      <c r="H213" s="26">
        <f t="shared" si="9"/>
        <v>29773.23</v>
      </c>
      <c r="I213" s="26">
        <f t="shared" si="10"/>
        <v>30000</v>
      </c>
    </row>
    <row r="214" spans="1:9" ht="18.75" customHeight="1" x14ac:dyDescent="0.25">
      <c r="A214" s="21">
        <v>211</v>
      </c>
      <c r="B214" s="25" t="s">
        <v>225</v>
      </c>
      <c r="C214" s="19">
        <v>40</v>
      </c>
      <c r="D214" s="20">
        <f>SUM($C$3:C213)+C214/2</f>
        <v>4070</v>
      </c>
      <c r="E214" s="20">
        <f t="shared" si="8"/>
        <v>2173.3636307739953</v>
      </c>
      <c r="F214" s="19">
        <v>21</v>
      </c>
      <c r="G214" s="19">
        <v>5</v>
      </c>
      <c r="H214" s="26">
        <f t="shared" si="9"/>
        <v>30071.629999999997</v>
      </c>
      <c r="I214" s="26">
        <f t="shared" si="10"/>
        <v>30000</v>
      </c>
    </row>
    <row r="215" spans="1:9" ht="18.75" customHeight="1" x14ac:dyDescent="0.25">
      <c r="A215" s="21">
        <v>212</v>
      </c>
      <c r="B215" s="25" t="s">
        <v>226</v>
      </c>
      <c r="C215" s="19">
        <v>40</v>
      </c>
      <c r="D215" s="20">
        <f>SUM($C$3:C214)+C215/2</f>
        <v>4110</v>
      </c>
      <c r="E215" s="20">
        <f t="shared" si="8"/>
        <v>2189.401496879776</v>
      </c>
      <c r="F215" s="19">
        <v>21</v>
      </c>
      <c r="G215" s="19">
        <v>5</v>
      </c>
      <c r="H215" s="26">
        <f t="shared" si="9"/>
        <v>30370.03</v>
      </c>
      <c r="I215" s="26">
        <f t="shared" si="10"/>
        <v>30000</v>
      </c>
    </row>
    <row r="216" spans="1:9" ht="18.75" customHeight="1" x14ac:dyDescent="0.25">
      <c r="A216" s="21">
        <v>213</v>
      </c>
      <c r="B216" s="25" t="s">
        <v>227</v>
      </c>
      <c r="C216" s="19">
        <v>40</v>
      </c>
      <c r="D216" s="20">
        <f>SUM($C$3:C215)+C216/2</f>
        <v>4150</v>
      </c>
      <c r="E216" s="20">
        <f t="shared" si="8"/>
        <v>2205.4393629855567</v>
      </c>
      <c r="F216" s="19">
        <v>21</v>
      </c>
      <c r="G216" s="19">
        <v>5</v>
      </c>
      <c r="H216" s="26">
        <f t="shared" si="9"/>
        <v>30668.429999999997</v>
      </c>
      <c r="I216" s="26">
        <f t="shared" si="10"/>
        <v>30000</v>
      </c>
    </row>
    <row r="217" spans="1:9" ht="18.75" customHeight="1" x14ac:dyDescent="0.25">
      <c r="A217" s="21">
        <v>214</v>
      </c>
      <c r="B217" s="25" t="s">
        <v>228</v>
      </c>
      <c r="C217" s="19">
        <v>40</v>
      </c>
      <c r="D217" s="20">
        <f>SUM($C$3:C216)+C217/2</f>
        <v>4190</v>
      </c>
      <c r="E217" s="20">
        <f t="shared" si="8"/>
        <v>2221.477229091337</v>
      </c>
      <c r="F217" s="19">
        <v>21</v>
      </c>
      <c r="G217" s="19">
        <v>5</v>
      </c>
      <c r="H217" s="26">
        <f t="shared" si="9"/>
        <v>30966.829999999994</v>
      </c>
      <c r="I217" s="26">
        <f t="shared" si="10"/>
        <v>30000</v>
      </c>
    </row>
    <row r="218" spans="1:9" ht="18.75" customHeight="1" x14ac:dyDescent="0.25">
      <c r="A218" s="21">
        <v>215</v>
      </c>
      <c r="B218" s="25" t="s">
        <v>229</v>
      </c>
      <c r="C218" s="19">
        <v>40</v>
      </c>
      <c r="D218" s="20">
        <f>SUM($C$3:C217)+C218/2</f>
        <v>4230</v>
      </c>
      <c r="E218" s="20">
        <f t="shared" si="8"/>
        <v>2237.5150951971173</v>
      </c>
      <c r="F218" s="19">
        <v>21</v>
      </c>
      <c r="G218" s="19">
        <v>5</v>
      </c>
      <c r="H218" s="26">
        <f t="shared" si="9"/>
        <v>31265.23</v>
      </c>
      <c r="I218" s="26">
        <f t="shared" si="10"/>
        <v>30000</v>
      </c>
    </row>
    <row r="219" spans="1:9" ht="18.75" customHeight="1" x14ac:dyDescent="0.25">
      <c r="A219" s="21">
        <v>216</v>
      </c>
      <c r="B219" s="25" t="s">
        <v>230</v>
      </c>
      <c r="C219" s="19">
        <v>40</v>
      </c>
      <c r="D219" s="20">
        <f>SUM($C$3:C218)+C219/2</f>
        <v>4270</v>
      </c>
      <c r="E219" s="20">
        <f t="shared" si="8"/>
        <v>2253.5529613028975</v>
      </c>
      <c r="F219" s="19">
        <v>21</v>
      </c>
      <c r="G219" s="19">
        <v>5</v>
      </c>
      <c r="H219" s="26">
        <f t="shared" si="9"/>
        <v>31563.629999999997</v>
      </c>
      <c r="I219" s="26">
        <f t="shared" si="10"/>
        <v>30000</v>
      </c>
    </row>
    <row r="220" spans="1:9" ht="18.75" customHeight="1" x14ac:dyDescent="0.25">
      <c r="A220" s="21">
        <v>217</v>
      </c>
      <c r="B220" s="25" t="s">
        <v>231</v>
      </c>
      <c r="C220" s="19">
        <v>40</v>
      </c>
      <c r="D220" s="20">
        <f>SUM($C$3:C219)+C220/2</f>
        <v>4310</v>
      </c>
      <c r="E220" s="20">
        <f t="shared" si="8"/>
        <v>2269.5908274086783</v>
      </c>
      <c r="F220" s="19">
        <v>21</v>
      </c>
      <c r="G220" s="19">
        <v>5</v>
      </c>
      <c r="H220" s="26">
        <f t="shared" si="9"/>
        <v>31862.03</v>
      </c>
      <c r="I220" s="26">
        <f t="shared" si="10"/>
        <v>30000</v>
      </c>
    </row>
    <row r="221" spans="1:9" ht="18.75" customHeight="1" x14ac:dyDescent="0.25">
      <c r="A221" s="21">
        <v>218</v>
      </c>
      <c r="B221" s="25" t="s">
        <v>232</v>
      </c>
      <c r="C221" s="19">
        <v>40</v>
      </c>
      <c r="D221" s="20">
        <f>SUM($C$3:C220)+C221/2</f>
        <v>4350</v>
      </c>
      <c r="E221" s="20">
        <f t="shared" si="8"/>
        <v>2285.628693514459</v>
      </c>
      <c r="F221" s="19">
        <v>21</v>
      </c>
      <c r="G221" s="19">
        <v>5</v>
      </c>
      <c r="H221" s="26">
        <f t="shared" si="9"/>
        <v>32160.429999999997</v>
      </c>
      <c r="I221" s="26">
        <f t="shared" si="10"/>
        <v>30000</v>
      </c>
    </row>
    <row r="222" spans="1:9" ht="18.75" customHeight="1" x14ac:dyDescent="0.25">
      <c r="A222" s="21">
        <v>219</v>
      </c>
      <c r="B222" s="25" t="s">
        <v>233</v>
      </c>
      <c r="C222" s="19">
        <v>40</v>
      </c>
      <c r="D222" s="20">
        <f>SUM($C$3:C221)+C222/2</f>
        <v>4390</v>
      </c>
      <c r="E222" s="20">
        <f t="shared" si="8"/>
        <v>2301.6665596202392</v>
      </c>
      <c r="F222" s="19">
        <v>21</v>
      </c>
      <c r="G222" s="19">
        <v>5</v>
      </c>
      <c r="H222" s="26">
        <f t="shared" si="9"/>
        <v>32458.829999999994</v>
      </c>
      <c r="I222" s="26">
        <f t="shared" si="10"/>
        <v>30000</v>
      </c>
    </row>
    <row r="223" spans="1:9" ht="18.75" customHeight="1" x14ac:dyDescent="0.25">
      <c r="A223" s="21">
        <v>220</v>
      </c>
      <c r="B223" s="25" t="s">
        <v>234</v>
      </c>
      <c r="C223" s="19">
        <v>40</v>
      </c>
      <c r="D223" s="20">
        <f>SUM($C$3:C222)+C223/2</f>
        <v>4430</v>
      </c>
      <c r="E223" s="20">
        <f t="shared" si="8"/>
        <v>2317.7044257260195</v>
      </c>
      <c r="F223" s="19">
        <v>21</v>
      </c>
      <c r="G223" s="19">
        <v>5</v>
      </c>
      <c r="H223" s="26">
        <f t="shared" si="9"/>
        <v>32757.23</v>
      </c>
      <c r="I223" s="26">
        <f t="shared" si="10"/>
        <v>30000</v>
      </c>
    </row>
    <row r="224" spans="1:9" ht="18.75" customHeight="1" x14ac:dyDescent="0.25">
      <c r="A224" s="21">
        <v>221</v>
      </c>
      <c r="B224" s="25" t="s">
        <v>235</v>
      </c>
      <c r="C224" s="19">
        <v>40</v>
      </c>
      <c r="D224" s="20">
        <f>SUM($C$3:C223)+C224/2</f>
        <v>4470</v>
      </c>
      <c r="E224" s="20">
        <f t="shared" si="8"/>
        <v>2333.7422918318002</v>
      </c>
      <c r="F224" s="19">
        <v>21</v>
      </c>
      <c r="G224" s="19">
        <v>5</v>
      </c>
      <c r="H224" s="26">
        <f t="shared" si="9"/>
        <v>33055.629999999997</v>
      </c>
      <c r="I224" s="26">
        <f t="shared" si="10"/>
        <v>30000</v>
      </c>
    </row>
    <row r="225" spans="1:9" ht="18.75" customHeight="1" x14ac:dyDescent="0.25">
      <c r="A225" s="21">
        <v>222</v>
      </c>
      <c r="B225" s="25" t="s">
        <v>236</v>
      </c>
      <c r="C225" s="19">
        <v>40</v>
      </c>
      <c r="D225" s="20">
        <f>SUM($C$3:C224)+C225/2</f>
        <v>4510</v>
      </c>
      <c r="E225" s="20">
        <f t="shared" si="8"/>
        <v>2349.7801579375805</v>
      </c>
      <c r="F225" s="19">
        <v>21</v>
      </c>
      <c r="G225" s="19">
        <v>5</v>
      </c>
      <c r="H225" s="26">
        <f t="shared" si="9"/>
        <v>33354.03</v>
      </c>
      <c r="I225" s="26">
        <f t="shared" si="10"/>
        <v>30000</v>
      </c>
    </row>
    <row r="226" spans="1:9" ht="18.75" customHeight="1" x14ac:dyDescent="0.25">
      <c r="A226" s="21">
        <v>223</v>
      </c>
      <c r="B226" s="25" t="s">
        <v>237</v>
      </c>
      <c r="C226" s="19">
        <v>40</v>
      </c>
      <c r="D226" s="20">
        <f>SUM($C$3:C225)+C226/2</f>
        <v>4550</v>
      </c>
      <c r="E226" s="20">
        <f t="shared" si="8"/>
        <v>2365.8180240433612</v>
      </c>
      <c r="F226" s="19">
        <v>21</v>
      </c>
      <c r="G226" s="19">
        <v>5</v>
      </c>
      <c r="H226" s="26">
        <f t="shared" si="9"/>
        <v>33652.429999999993</v>
      </c>
      <c r="I226" s="26">
        <f t="shared" si="10"/>
        <v>30000</v>
      </c>
    </row>
    <row r="227" spans="1:9" ht="18.75" customHeight="1" x14ac:dyDescent="0.25">
      <c r="A227" s="21">
        <v>224</v>
      </c>
      <c r="B227" s="25" t="s">
        <v>238</v>
      </c>
      <c r="C227" s="19">
        <v>40</v>
      </c>
      <c r="D227" s="20">
        <f>SUM($C$3:C226)+C227/2</f>
        <v>4590</v>
      </c>
      <c r="E227" s="20">
        <f t="shared" si="8"/>
        <v>2381.8558901491415</v>
      </c>
      <c r="F227" s="19">
        <v>21</v>
      </c>
      <c r="G227" s="19">
        <v>5</v>
      </c>
      <c r="H227" s="26">
        <f t="shared" si="9"/>
        <v>33950.829999999994</v>
      </c>
      <c r="I227" s="26">
        <f t="shared" si="10"/>
        <v>30000</v>
      </c>
    </row>
    <row r="228" spans="1:9" ht="18.75" customHeight="1" x14ac:dyDescent="0.25">
      <c r="A228" s="21">
        <v>225</v>
      </c>
      <c r="B228" s="25" t="s">
        <v>239</v>
      </c>
      <c r="C228" s="19">
        <v>40</v>
      </c>
      <c r="D228" s="20">
        <f>SUM($C$3:C227)+C228/2</f>
        <v>4630</v>
      </c>
      <c r="E228" s="20">
        <f t="shared" ref="E228:E261" si="11">($E$262-$E$35)/($D$262-$D$35)*(D228-$D$35)+$E$35</f>
        <v>2397.8937562549218</v>
      </c>
      <c r="F228" s="19">
        <v>21</v>
      </c>
      <c r="G228" s="19">
        <v>5</v>
      </c>
      <c r="H228" s="26">
        <f t="shared" ref="H228:H291" si="12">2/3*(240*19+(D228-240)*21-(D228-4.5)*9.81)</f>
        <v>34249.229999999996</v>
      </c>
      <c r="I228" s="26">
        <f t="shared" si="10"/>
        <v>30000</v>
      </c>
    </row>
    <row r="229" spans="1:9" ht="18.75" customHeight="1" x14ac:dyDescent="0.25">
      <c r="A229" s="21">
        <v>226</v>
      </c>
      <c r="B229" s="25" t="s">
        <v>240</v>
      </c>
      <c r="C229" s="19">
        <v>40</v>
      </c>
      <c r="D229" s="20">
        <f>SUM($C$3:C228)+C229/2</f>
        <v>4670</v>
      </c>
      <c r="E229" s="20">
        <f t="shared" si="11"/>
        <v>2413.9316223607025</v>
      </c>
      <c r="F229" s="19">
        <v>21</v>
      </c>
      <c r="G229" s="19">
        <v>5</v>
      </c>
      <c r="H229" s="26">
        <f t="shared" si="12"/>
        <v>34547.629999999997</v>
      </c>
      <c r="I229" s="26">
        <f t="shared" si="10"/>
        <v>30000</v>
      </c>
    </row>
    <row r="230" spans="1:9" ht="18.75" customHeight="1" x14ac:dyDescent="0.25">
      <c r="A230" s="21">
        <v>227</v>
      </c>
      <c r="B230" s="25" t="s">
        <v>241</v>
      </c>
      <c r="C230" s="19">
        <v>40</v>
      </c>
      <c r="D230" s="20">
        <f>SUM($C$3:C229)+C230/2</f>
        <v>4710</v>
      </c>
      <c r="E230" s="20">
        <f t="shared" si="11"/>
        <v>2429.9694884664832</v>
      </c>
      <c r="F230" s="19">
        <v>21</v>
      </c>
      <c r="G230" s="19">
        <v>5</v>
      </c>
      <c r="H230" s="26">
        <f t="shared" si="12"/>
        <v>34846.03</v>
      </c>
      <c r="I230" s="26">
        <f t="shared" si="10"/>
        <v>30000</v>
      </c>
    </row>
    <row r="231" spans="1:9" ht="18.75" customHeight="1" x14ac:dyDescent="0.25">
      <c r="A231" s="21">
        <v>228</v>
      </c>
      <c r="B231" s="25" t="s">
        <v>242</v>
      </c>
      <c r="C231" s="19">
        <v>40</v>
      </c>
      <c r="D231" s="20">
        <f>SUM($C$3:C230)+C231/2</f>
        <v>4750</v>
      </c>
      <c r="E231" s="20">
        <f t="shared" si="11"/>
        <v>2446.0073545722635</v>
      </c>
      <c r="F231" s="19">
        <v>21</v>
      </c>
      <c r="G231" s="19">
        <v>5</v>
      </c>
      <c r="H231" s="26">
        <f t="shared" si="12"/>
        <v>35144.429999999993</v>
      </c>
      <c r="I231" s="26">
        <f t="shared" si="10"/>
        <v>40000</v>
      </c>
    </row>
    <row r="232" spans="1:9" ht="18.75" customHeight="1" x14ac:dyDescent="0.25">
      <c r="A232" s="21">
        <v>229</v>
      </c>
      <c r="B232" s="25" t="s">
        <v>243</v>
      </c>
      <c r="C232" s="19">
        <v>40</v>
      </c>
      <c r="D232" s="20">
        <f>SUM($C$3:C231)+C232/2</f>
        <v>4790</v>
      </c>
      <c r="E232" s="20">
        <f t="shared" si="11"/>
        <v>2462.0452206780437</v>
      </c>
      <c r="F232" s="19">
        <v>21</v>
      </c>
      <c r="G232" s="19">
        <v>5</v>
      </c>
      <c r="H232" s="26">
        <f t="shared" si="12"/>
        <v>35442.829999999994</v>
      </c>
      <c r="I232" s="26">
        <f t="shared" si="10"/>
        <v>40000</v>
      </c>
    </row>
    <row r="233" spans="1:9" ht="18.75" customHeight="1" x14ac:dyDescent="0.25">
      <c r="A233" s="21">
        <v>230</v>
      </c>
      <c r="B233" s="25" t="s">
        <v>244</v>
      </c>
      <c r="C233" s="19">
        <v>40</v>
      </c>
      <c r="D233" s="20">
        <f>SUM($C$3:C232)+C233/2</f>
        <v>4830</v>
      </c>
      <c r="E233" s="20">
        <f t="shared" si="11"/>
        <v>2478.083086783824</v>
      </c>
      <c r="F233" s="19">
        <v>21</v>
      </c>
      <c r="G233" s="19">
        <v>5</v>
      </c>
      <c r="H233" s="26">
        <f t="shared" si="12"/>
        <v>35741.229999999996</v>
      </c>
      <c r="I233" s="26">
        <f t="shared" si="10"/>
        <v>40000</v>
      </c>
    </row>
    <row r="234" spans="1:9" ht="18.75" customHeight="1" x14ac:dyDescent="0.25">
      <c r="A234" s="21">
        <v>231</v>
      </c>
      <c r="B234" s="25" t="s">
        <v>245</v>
      </c>
      <c r="C234" s="19">
        <v>40</v>
      </c>
      <c r="D234" s="20">
        <f>SUM($C$3:C233)+C234/2</f>
        <v>4870</v>
      </c>
      <c r="E234" s="20">
        <f t="shared" si="11"/>
        <v>2494.1209528896047</v>
      </c>
      <c r="F234" s="19">
        <v>21</v>
      </c>
      <c r="G234" s="19">
        <v>5</v>
      </c>
      <c r="H234" s="26">
        <f t="shared" si="12"/>
        <v>36039.629999999997</v>
      </c>
      <c r="I234" s="26">
        <f t="shared" si="10"/>
        <v>40000</v>
      </c>
    </row>
    <row r="235" spans="1:9" ht="18.75" customHeight="1" x14ac:dyDescent="0.25">
      <c r="A235" s="21">
        <v>232</v>
      </c>
      <c r="B235" s="25" t="s">
        <v>246</v>
      </c>
      <c r="C235" s="19">
        <v>40</v>
      </c>
      <c r="D235" s="20">
        <f>SUM($C$3:C234)+C235/2</f>
        <v>4910</v>
      </c>
      <c r="E235" s="20">
        <f t="shared" si="11"/>
        <v>2510.1588189953854</v>
      </c>
      <c r="F235" s="19">
        <v>21</v>
      </c>
      <c r="G235" s="19">
        <v>5</v>
      </c>
      <c r="H235" s="26">
        <f t="shared" si="12"/>
        <v>36338.03</v>
      </c>
      <c r="I235" s="26">
        <f t="shared" si="10"/>
        <v>40000</v>
      </c>
    </row>
    <row r="236" spans="1:9" ht="18.75" customHeight="1" x14ac:dyDescent="0.25">
      <c r="A236" s="21">
        <v>233</v>
      </c>
      <c r="B236" s="25" t="s">
        <v>247</v>
      </c>
      <c r="C236" s="19">
        <v>40</v>
      </c>
      <c r="D236" s="20">
        <f>SUM($C$3:C235)+C236/2</f>
        <v>4950</v>
      </c>
      <c r="E236" s="20">
        <f t="shared" si="11"/>
        <v>2526.1966851011657</v>
      </c>
      <c r="F236" s="19">
        <v>21</v>
      </c>
      <c r="G236" s="19">
        <v>5</v>
      </c>
      <c r="H236" s="26">
        <f t="shared" si="12"/>
        <v>36636.429999999993</v>
      </c>
      <c r="I236" s="26">
        <f t="shared" si="10"/>
        <v>40000</v>
      </c>
    </row>
    <row r="237" spans="1:9" ht="18.75" customHeight="1" x14ac:dyDescent="0.25">
      <c r="A237" s="21">
        <v>234</v>
      </c>
      <c r="B237" s="25" t="s">
        <v>248</v>
      </c>
      <c r="C237" s="19">
        <v>40</v>
      </c>
      <c r="D237" s="20">
        <f>SUM($C$3:C236)+C237/2</f>
        <v>4990</v>
      </c>
      <c r="E237" s="20">
        <f t="shared" si="11"/>
        <v>2542.234551206946</v>
      </c>
      <c r="F237" s="19">
        <v>21</v>
      </c>
      <c r="G237" s="19">
        <v>5</v>
      </c>
      <c r="H237" s="26">
        <f t="shared" si="12"/>
        <v>36934.829999999994</v>
      </c>
      <c r="I237" s="26">
        <f t="shared" si="10"/>
        <v>40000</v>
      </c>
    </row>
    <row r="238" spans="1:9" ht="18.75" customHeight="1" x14ac:dyDescent="0.25">
      <c r="A238" s="21">
        <v>235</v>
      </c>
      <c r="B238" s="25" t="s">
        <v>249</v>
      </c>
      <c r="C238" s="19">
        <v>40</v>
      </c>
      <c r="D238" s="20">
        <f>SUM($C$3:C237)+C238/2</f>
        <v>5030</v>
      </c>
      <c r="E238" s="20">
        <f t="shared" si="11"/>
        <v>2558.2724173127267</v>
      </c>
      <c r="F238" s="19">
        <v>21</v>
      </c>
      <c r="G238" s="19">
        <v>5</v>
      </c>
      <c r="H238" s="26">
        <f t="shared" si="12"/>
        <v>37233.229999999996</v>
      </c>
      <c r="I238" s="26">
        <f t="shared" si="10"/>
        <v>40000</v>
      </c>
    </row>
    <row r="239" spans="1:9" ht="18.75" customHeight="1" x14ac:dyDescent="0.25">
      <c r="A239" s="21">
        <v>236</v>
      </c>
      <c r="B239" s="25" t="s">
        <v>250</v>
      </c>
      <c r="C239" s="19">
        <v>40</v>
      </c>
      <c r="D239" s="20">
        <f>SUM($C$3:C238)+C239/2</f>
        <v>5070</v>
      </c>
      <c r="E239" s="20">
        <f t="shared" si="11"/>
        <v>2574.3102834185074</v>
      </c>
      <c r="F239" s="19">
        <v>21</v>
      </c>
      <c r="G239" s="19">
        <v>5</v>
      </c>
      <c r="H239" s="26">
        <f t="shared" si="12"/>
        <v>37531.629999999997</v>
      </c>
      <c r="I239" s="26">
        <f t="shared" si="10"/>
        <v>40000</v>
      </c>
    </row>
    <row r="240" spans="1:9" ht="18.75" customHeight="1" x14ac:dyDescent="0.25">
      <c r="A240" s="21">
        <v>237</v>
      </c>
      <c r="B240" s="25" t="s">
        <v>251</v>
      </c>
      <c r="C240" s="19">
        <v>40</v>
      </c>
      <c r="D240" s="20">
        <f>SUM($C$3:C239)+C240/2</f>
        <v>5110</v>
      </c>
      <c r="E240" s="20">
        <f t="shared" si="11"/>
        <v>2590.3481495242877</v>
      </c>
      <c r="F240" s="19">
        <v>21</v>
      </c>
      <c r="G240" s="19">
        <v>5</v>
      </c>
      <c r="H240" s="26">
        <f t="shared" si="12"/>
        <v>37830.03</v>
      </c>
      <c r="I240" s="26">
        <f t="shared" si="10"/>
        <v>40000</v>
      </c>
    </row>
    <row r="241" spans="1:9" ht="18.75" customHeight="1" x14ac:dyDescent="0.25">
      <c r="A241" s="21">
        <v>238</v>
      </c>
      <c r="B241" s="25" t="s">
        <v>252</v>
      </c>
      <c r="C241" s="19">
        <v>40</v>
      </c>
      <c r="D241" s="20">
        <f>SUM($C$3:C240)+C241/2</f>
        <v>5150</v>
      </c>
      <c r="E241" s="20">
        <f t="shared" si="11"/>
        <v>2606.386015630068</v>
      </c>
      <c r="F241" s="19">
        <v>21</v>
      </c>
      <c r="G241" s="19">
        <v>5</v>
      </c>
      <c r="H241" s="26">
        <f t="shared" si="12"/>
        <v>38128.429999999993</v>
      </c>
      <c r="I241" s="26">
        <f t="shared" si="10"/>
        <v>40000</v>
      </c>
    </row>
    <row r="242" spans="1:9" ht="18.75" customHeight="1" x14ac:dyDescent="0.25">
      <c r="A242" s="21">
        <v>239</v>
      </c>
      <c r="B242" s="25" t="s">
        <v>253</v>
      </c>
      <c r="C242" s="19">
        <v>40</v>
      </c>
      <c r="D242" s="20">
        <f>SUM($C$3:C241)+C242/2</f>
        <v>5190</v>
      </c>
      <c r="E242" s="20">
        <f t="shared" si="11"/>
        <v>2622.4238817358482</v>
      </c>
      <c r="F242" s="19">
        <v>21</v>
      </c>
      <c r="G242" s="19">
        <v>5</v>
      </c>
      <c r="H242" s="26">
        <f t="shared" si="12"/>
        <v>38426.829999999994</v>
      </c>
      <c r="I242" s="26">
        <f t="shared" si="10"/>
        <v>40000</v>
      </c>
    </row>
    <row r="243" spans="1:9" ht="18.75" customHeight="1" x14ac:dyDescent="0.25">
      <c r="A243" s="21">
        <v>240</v>
      </c>
      <c r="B243" s="25" t="s">
        <v>254</v>
      </c>
      <c r="C243" s="19">
        <v>40</v>
      </c>
      <c r="D243" s="20">
        <f>SUM($C$3:C242)+C243/2</f>
        <v>5230</v>
      </c>
      <c r="E243" s="20">
        <f t="shared" si="11"/>
        <v>2638.4617478416289</v>
      </c>
      <c r="F243" s="19">
        <v>21</v>
      </c>
      <c r="G243" s="19">
        <v>5</v>
      </c>
      <c r="H243" s="26">
        <f t="shared" si="12"/>
        <v>38725.229999999996</v>
      </c>
      <c r="I243" s="26">
        <f t="shared" si="10"/>
        <v>40000</v>
      </c>
    </row>
    <row r="244" spans="1:9" ht="18.75" customHeight="1" x14ac:dyDescent="0.25">
      <c r="A244" s="21">
        <v>241</v>
      </c>
      <c r="B244" s="25" t="s">
        <v>255</v>
      </c>
      <c r="C244" s="19">
        <v>40</v>
      </c>
      <c r="D244" s="20">
        <f>SUM($C$3:C243)+C244/2</f>
        <v>5270</v>
      </c>
      <c r="E244" s="20">
        <f t="shared" si="11"/>
        <v>2654.4996139474097</v>
      </c>
      <c r="F244" s="19">
        <v>21</v>
      </c>
      <c r="G244" s="19">
        <v>5</v>
      </c>
      <c r="H244" s="26">
        <f t="shared" si="12"/>
        <v>39023.629999999997</v>
      </c>
      <c r="I244" s="26">
        <f t="shared" si="10"/>
        <v>40000</v>
      </c>
    </row>
    <row r="245" spans="1:9" ht="18.75" customHeight="1" x14ac:dyDescent="0.25">
      <c r="A245" s="21">
        <v>242</v>
      </c>
      <c r="B245" s="25" t="s">
        <v>256</v>
      </c>
      <c r="C245" s="19">
        <v>40</v>
      </c>
      <c r="D245" s="20">
        <f>SUM($C$3:C244)+C245/2</f>
        <v>5310</v>
      </c>
      <c r="E245" s="20">
        <f t="shared" si="11"/>
        <v>2670.5374800531899</v>
      </c>
      <c r="F245" s="19">
        <v>21</v>
      </c>
      <c r="G245" s="19">
        <v>5</v>
      </c>
      <c r="H245" s="26">
        <f t="shared" si="12"/>
        <v>39322.03</v>
      </c>
      <c r="I245" s="26">
        <f t="shared" si="10"/>
        <v>40000</v>
      </c>
    </row>
    <row r="246" spans="1:9" ht="18.75" customHeight="1" x14ac:dyDescent="0.25">
      <c r="A246" s="21">
        <v>243</v>
      </c>
      <c r="B246" s="25" t="s">
        <v>257</v>
      </c>
      <c r="C246" s="19">
        <v>40</v>
      </c>
      <c r="D246" s="20">
        <f>SUM($C$3:C245)+C246/2</f>
        <v>5350</v>
      </c>
      <c r="E246" s="20">
        <f t="shared" si="11"/>
        <v>2686.5753461589702</v>
      </c>
      <c r="F246" s="19">
        <v>21</v>
      </c>
      <c r="G246" s="19">
        <v>5</v>
      </c>
      <c r="H246" s="26">
        <f t="shared" si="12"/>
        <v>39620.429999999993</v>
      </c>
      <c r="I246" s="26">
        <f t="shared" si="10"/>
        <v>40000</v>
      </c>
    </row>
    <row r="247" spans="1:9" ht="18.75" customHeight="1" x14ac:dyDescent="0.25">
      <c r="A247" s="21">
        <v>244</v>
      </c>
      <c r="B247" s="25" t="s">
        <v>258</v>
      </c>
      <c r="C247" s="19">
        <v>40</v>
      </c>
      <c r="D247" s="20">
        <f>SUM($C$3:C246)+C247/2</f>
        <v>5390</v>
      </c>
      <c r="E247" s="20">
        <f t="shared" si="11"/>
        <v>2702.6132122647509</v>
      </c>
      <c r="F247" s="19">
        <v>21</v>
      </c>
      <c r="G247" s="19">
        <v>5</v>
      </c>
      <c r="H247" s="26">
        <f t="shared" si="12"/>
        <v>39918.829999999994</v>
      </c>
      <c r="I247" s="26">
        <f t="shared" si="10"/>
        <v>40000</v>
      </c>
    </row>
    <row r="248" spans="1:9" ht="18.75" customHeight="1" x14ac:dyDescent="0.25">
      <c r="A248" s="21">
        <v>245</v>
      </c>
      <c r="B248" s="25" t="s">
        <v>259</v>
      </c>
      <c r="C248" s="19">
        <v>40</v>
      </c>
      <c r="D248" s="20">
        <f>SUM($C$3:C247)+C248/2</f>
        <v>5430</v>
      </c>
      <c r="E248" s="20">
        <f t="shared" si="11"/>
        <v>2718.6510783705312</v>
      </c>
      <c r="F248" s="19">
        <v>21</v>
      </c>
      <c r="G248" s="19">
        <v>5</v>
      </c>
      <c r="H248" s="26">
        <f t="shared" si="12"/>
        <v>40217.229999999996</v>
      </c>
      <c r="I248" s="26">
        <f t="shared" si="10"/>
        <v>40000</v>
      </c>
    </row>
    <row r="249" spans="1:9" ht="18.75" customHeight="1" x14ac:dyDescent="0.25">
      <c r="A249" s="21">
        <v>246</v>
      </c>
      <c r="B249" s="25" t="s">
        <v>260</v>
      </c>
      <c r="C249" s="19">
        <v>40</v>
      </c>
      <c r="D249" s="20">
        <f>SUM($C$3:C248)+C249/2</f>
        <v>5470</v>
      </c>
      <c r="E249" s="20">
        <f t="shared" si="11"/>
        <v>2734.6889444763119</v>
      </c>
      <c r="F249" s="19">
        <v>21</v>
      </c>
      <c r="G249" s="19">
        <v>5</v>
      </c>
      <c r="H249" s="26">
        <f t="shared" si="12"/>
        <v>40515.629999999997</v>
      </c>
      <c r="I249" s="26">
        <f t="shared" si="10"/>
        <v>40000</v>
      </c>
    </row>
    <row r="250" spans="1:9" ht="18.75" customHeight="1" x14ac:dyDescent="0.25">
      <c r="A250" s="21">
        <v>247</v>
      </c>
      <c r="B250" s="25" t="s">
        <v>261</v>
      </c>
      <c r="C250" s="19">
        <v>40</v>
      </c>
      <c r="D250" s="20">
        <f>SUM($C$3:C249)+C250/2</f>
        <v>5510</v>
      </c>
      <c r="E250" s="20">
        <f t="shared" si="11"/>
        <v>2750.7268105820922</v>
      </c>
      <c r="F250" s="19">
        <v>21</v>
      </c>
      <c r="G250" s="19">
        <v>5</v>
      </c>
      <c r="H250" s="26">
        <f t="shared" si="12"/>
        <v>40814.03</v>
      </c>
      <c r="I250" s="26">
        <f t="shared" si="10"/>
        <v>40000</v>
      </c>
    </row>
    <row r="251" spans="1:9" ht="18.75" customHeight="1" x14ac:dyDescent="0.25">
      <c r="A251" s="21">
        <v>248</v>
      </c>
      <c r="B251" s="25" t="s">
        <v>262</v>
      </c>
      <c r="C251" s="19">
        <v>40</v>
      </c>
      <c r="D251" s="20">
        <f>SUM($C$3:C250)+C251/2</f>
        <v>5550</v>
      </c>
      <c r="E251" s="20">
        <f t="shared" si="11"/>
        <v>2766.7646766878725</v>
      </c>
      <c r="F251" s="19">
        <v>21</v>
      </c>
      <c r="G251" s="19">
        <v>5</v>
      </c>
      <c r="H251" s="26">
        <f t="shared" si="12"/>
        <v>41112.429999999993</v>
      </c>
      <c r="I251" s="26">
        <f t="shared" si="10"/>
        <v>40000</v>
      </c>
    </row>
    <row r="252" spans="1:9" ht="18.75" customHeight="1" x14ac:dyDescent="0.25">
      <c r="A252" s="21">
        <v>249</v>
      </c>
      <c r="B252" s="25" t="s">
        <v>263</v>
      </c>
      <c r="C252" s="19">
        <v>40</v>
      </c>
      <c r="D252" s="20">
        <f>SUM($C$3:C251)+C252/2</f>
        <v>5590</v>
      </c>
      <c r="E252" s="20">
        <f t="shared" si="11"/>
        <v>2782.8025427936532</v>
      </c>
      <c r="F252" s="19">
        <v>21</v>
      </c>
      <c r="G252" s="19">
        <v>5</v>
      </c>
      <c r="H252" s="26">
        <f t="shared" si="12"/>
        <v>41410.829999999994</v>
      </c>
      <c r="I252" s="26">
        <f t="shared" si="10"/>
        <v>40000</v>
      </c>
    </row>
    <row r="253" spans="1:9" ht="18.75" customHeight="1" x14ac:dyDescent="0.25">
      <c r="A253" s="21">
        <v>250</v>
      </c>
      <c r="B253" s="25" t="s">
        <v>264</v>
      </c>
      <c r="C253" s="19">
        <v>40</v>
      </c>
      <c r="D253" s="20">
        <f>SUM($C$3:C252)+C253/2</f>
        <v>5630</v>
      </c>
      <c r="E253" s="20">
        <f t="shared" si="11"/>
        <v>2798.8404088994334</v>
      </c>
      <c r="F253" s="19">
        <v>21</v>
      </c>
      <c r="G253" s="19">
        <v>5</v>
      </c>
      <c r="H253" s="26">
        <f t="shared" si="12"/>
        <v>41709.229999999996</v>
      </c>
      <c r="I253" s="26">
        <f t="shared" si="10"/>
        <v>40000</v>
      </c>
    </row>
    <row r="254" spans="1:9" ht="18.75" customHeight="1" x14ac:dyDescent="0.25">
      <c r="A254" s="21">
        <v>251</v>
      </c>
      <c r="B254" s="25" t="s">
        <v>265</v>
      </c>
      <c r="C254" s="19">
        <v>40</v>
      </c>
      <c r="D254" s="20">
        <f>SUM($C$3:C253)+C254/2</f>
        <v>5670</v>
      </c>
      <c r="E254" s="20">
        <f t="shared" si="11"/>
        <v>2814.8782750052142</v>
      </c>
      <c r="F254" s="19">
        <v>21</v>
      </c>
      <c r="G254" s="19">
        <v>5</v>
      </c>
      <c r="H254" s="26">
        <f t="shared" si="12"/>
        <v>42007.63</v>
      </c>
      <c r="I254" s="26">
        <f t="shared" si="10"/>
        <v>40000</v>
      </c>
    </row>
    <row r="255" spans="1:9" ht="18.75" customHeight="1" x14ac:dyDescent="0.25">
      <c r="A255" s="21">
        <v>252</v>
      </c>
      <c r="B255" s="25" t="s">
        <v>266</v>
      </c>
      <c r="C255" s="19">
        <v>40</v>
      </c>
      <c r="D255" s="20">
        <f>SUM($C$3:C254)+C255/2</f>
        <v>5710</v>
      </c>
      <c r="E255" s="20">
        <f t="shared" si="11"/>
        <v>2830.9161411109944</v>
      </c>
      <c r="F255" s="19">
        <v>21</v>
      </c>
      <c r="G255" s="19">
        <v>5</v>
      </c>
      <c r="H255" s="26">
        <f t="shared" si="12"/>
        <v>42306.03</v>
      </c>
      <c r="I255" s="26">
        <f t="shared" si="10"/>
        <v>40000</v>
      </c>
    </row>
    <row r="256" spans="1:9" ht="18.75" customHeight="1" x14ac:dyDescent="0.25">
      <c r="A256" s="21">
        <v>253</v>
      </c>
      <c r="B256" s="25" t="s">
        <v>267</v>
      </c>
      <c r="C256" s="19">
        <v>40</v>
      </c>
      <c r="D256" s="20">
        <f>SUM($C$3:C255)+C256/2</f>
        <v>5750</v>
      </c>
      <c r="E256" s="20">
        <f t="shared" si="11"/>
        <v>2846.9540072167752</v>
      </c>
      <c r="F256" s="19">
        <v>21</v>
      </c>
      <c r="G256" s="19">
        <v>5</v>
      </c>
      <c r="H256" s="26">
        <f t="shared" si="12"/>
        <v>42604.429999999993</v>
      </c>
      <c r="I256" s="26">
        <f t="shared" si="10"/>
        <v>40000</v>
      </c>
    </row>
    <row r="257" spans="1:9" ht="18.75" customHeight="1" x14ac:dyDescent="0.25">
      <c r="A257" s="21">
        <v>254</v>
      </c>
      <c r="B257" s="25" t="s">
        <v>268</v>
      </c>
      <c r="C257" s="19">
        <v>40</v>
      </c>
      <c r="D257" s="20">
        <f>SUM($C$3:C256)+C257/2</f>
        <v>5790</v>
      </c>
      <c r="E257" s="20">
        <f t="shared" si="11"/>
        <v>2862.9918733225554</v>
      </c>
      <c r="F257" s="19">
        <v>21</v>
      </c>
      <c r="G257" s="19">
        <v>5</v>
      </c>
      <c r="H257" s="26">
        <f t="shared" si="12"/>
        <v>42902.829999999994</v>
      </c>
      <c r="I257" s="26">
        <f t="shared" si="10"/>
        <v>40000</v>
      </c>
    </row>
    <row r="258" spans="1:9" ht="18.75" customHeight="1" x14ac:dyDescent="0.25">
      <c r="A258" s="21">
        <v>255</v>
      </c>
      <c r="B258" s="25" t="s">
        <v>269</v>
      </c>
      <c r="C258" s="19">
        <v>40</v>
      </c>
      <c r="D258" s="20">
        <f>SUM($C$3:C257)+C258/2</f>
        <v>5830</v>
      </c>
      <c r="E258" s="20">
        <f t="shared" si="11"/>
        <v>2879.0297394283361</v>
      </c>
      <c r="F258" s="19">
        <v>21</v>
      </c>
      <c r="G258" s="19">
        <v>5</v>
      </c>
      <c r="H258" s="26">
        <f t="shared" si="12"/>
        <v>43201.229999999996</v>
      </c>
      <c r="I258" s="26">
        <f t="shared" si="10"/>
        <v>40000</v>
      </c>
    </row>
    <row r="259" spans="1:9" ht="18.75" customHeight="1" x14ac:dyDescent="0.25">
      <c r="A259" s="21">
        <v>256</v>
      </c>
      <c r="B259" s="25" t="s">
        <v>270</v>
      </c>
      <c r="C259" s="19">
        <v>40</v>
      </c>
      <c r="D259" s="20">
        <f>SUM($C$3:C258)+C259/2</f>
        <v>5870</v>
      </c>
      <c r="E259" s="20">
        <f t="shared" si="11"/>
        <v>2895.0676055341164</v>
      </c>
      <c r="F259" s="19">
        <v>21</v>
      </c>
      <c r="G259" s="19">
        <v>5</v>
      </c>
      <c r="H259" s="26">
        <f t="shared" si="12"/>
        <v>43499.63</v>
      </c>
      <c r="I259" s="26">
        <f t="shared" si="10"/>
        <v>40000</v>
      </c>
    </row>
    <row r="260" spans="1:9" ht="18.75" customHeight="1" x14ac:dyDescent="0.25">
      <c r="A260" s="21">
        <v>257</v>
      </c>
      <c r="B260" s="25" t="s">
        <v>271</v>
      </c>
      <c r="C260" s="19">
        <v>40</v>
      </c>
      <c r="D260" s="20">
        <f>SUM($C$3:C259)+C260/2</f>
        <v>5910</v>
      </c>
      <c r="E260" s="20">
        <f t="shared" si="11"/>
        <v>2911.1054716398967</v>
      </c>
      <c r="F260" s="19">
        <v>21</v>
      </c>
      <c r="G260" s="19">
        <v>5</v>
      </c>
      <c r="H260" s="26">
        <f t="shared" si="12"/>
        <v>43798.03</v>
      </c>
      <c r="I260" s="26">
        <f t="shared" si="10"/>
        <v>40000</v>
      </c>
    </row>
    <row r="261" spans="1:9" ht="18.75" customHeight="1" x14ac:dyDescent="0.25">
      <c r="A261" s="21">
        <v>258</v>
      </c>
      <c r="B261" s="25" t="s">
        <v>272</v>
      </c>
      <c r="C261" s="19">
        <v>40</v>
      </c>
      <c r="D261" s="20">
        <f>SUM($C$3:C260)+C261/2</f>
        <v>5950</v>
      </c>
      <c r="E261" s="20">
        <f t="shared" si="11"/>
        <v>2927.1433377456774</v>
      </c>
      <c r="F261" s="19">
        <v>21</v>
      </c>
      <c r="G261" s="19">
        <v>5</v>
      </c>
      <c r="H261" s="26">
        <f t="shared" si="12"/>
        <v>44096.429999999993</v>
      </c>
      <c r="I261" s="26">
        <f t="shared" si="10"/>
        <v>40000</v>
      </c>
    </row>
    <row r="262" spans="1:9" ht="18.75" customHeight="1" x14ac:dyDescent="0.25">
      <c r="A262" s="21">
        <v>259</v>
      </c>
      <c r="B262" s="25" t="s">
        <v>273</v>
      </c>
      <c r="C262" s="19">
        <v>30</v>
      </c>
      <c r="D262" s="20">
        <f>SUM($C$3:C261)+C262/2</f>
        <v>5985</v>
      </c>
      <c r="E262" s="20">
        <f>5500/1.87</f>
        <v>2941.1764705882351</v>
      </c>
      <c r="F262" s="19">
        <v>21</v>
      </c>
      <c r="G262" s="19">
        <v>5</v>
      </c>
      <c r="H262" s="26">
        <f t="shared" si="12"/>
        <v>44357.53</v>
      </c>
      <c r="I262" s="26">
        <f t="shared" si="10"/>
        <v>40000</v>
      </c>
    </row>
    <row r="263" spans="1:9" ht="18.75" customHeight="1" x14ac:dyDescent="0.25">
      <c r="A263" s="21">
        <v>260</v>
      </c>
      <c r="B263" s="25" t="s">
        <v>274</v>
      </c>
      <c r="C263" s="19">
        <v>50</v>
      </c>
      <c r="D263" s="20">
        <f>SUM($C$3:C262)+C263/2</f>
        <v>6025</v>
      </c>
      <c r="E263" s="20">
        <f t="shared" ref="E263:E294" si="13">($E$312-$E$262)/($D$312-$D$262)*(D263-$D$312)+$E$312</f>
        <v>2949.6428420243365</v>
      </c>
      <c r="F263" s="19">
        <v>21</v>
      </c>
      <c r="G263" s="19">
        <v>5</v>
      </c>
      <c r="H263" s="26">
        <f t="shared" si="12"/>
        <v>44655.929999999993</v>
      </c>
      <c r="I263" s="26">
        <f t="shared" si="10"/>
        <v>40000</v>
      </c>
    </row>
    <row r="264" spans="1:9" ht="18.75" customHeight="1" x14ac:dyDescent="0.25">
      <c r="A264" s="21">
        <v>261</v>
      </c>
      <c r="B264" s="25" t="s">
        <v>275</v>
      </c>
      <c r="C264" s="19">
        <v>50</v>
      </c>
      <c r="D264" s="20">
        <f>SUM($C$3:C263)+C264/2</f>
        <v>6075</v>
      </c>
      <c r="E264" s="20">
        <f t="shared" si="13"/>
        <v>2960.2258063194631</v>
      </c>
      <c r="F264" s="19">
        <v>21</v>
      </c>
      <c r="G264" s="19">
        <v>5</v>
      </c>
      <c r="H264" s="26">
        <f t="shared" si="12"/>
        <v>45028.929999999993</v>
      </c>
      <c r="I264" s="26">
        <f t="shared" si="10"/>
        <v>50000</v>
      </c>
    </row>
    <row r="265" spans="1:9" ht="18.75" customHeight="1" x14ac:dyDescent="0.25">
      <c r="A265" s="21">
        <v>262</v>
      </c>
      <c r="B265" s="25" t="s">
        <v>276</v>
      </c>
      <c r="C265" s="19">
        <v>50</v>
      </c>
      <c r="D265" s="20">
        <f>SUM($C$3:C264)+C265/2</f>
        <v>6125</v>
      </c>
      <c r="E265" s="20">
        <f t="shared" si="13"/>
        <v>2970.8087706145902</v>
      </c>
      <c r="F265" s="19">
        <v>21</v>
      </c>
      <c r="G265" s="19">
        <v>5</v>
      </c>
      <c r="H265" s="26">
        <f t="shared" si="12"/>
        <v>45401.929999999993</v>
      </c>
      <c r="I265" s="26">
        <f t="shared" si="10"/>
        <v>50000</v>
      </c>
    </row>
    <row r="266" spans="1:9" ht="18.75" customHeight="1" x14ac:dyDescent="0.25">
      <c r="A266" s="21">
        <v>263</v>
      </c>
      <c r="B266" s="25" t="s">
        <v>277</v>
      </c>
      <c r="C266" s="19">
        <v>50</v>
      </c>
      <c r="D266" s="20">
        <f>SUM($C$3:C265)+C266/2</f>
        <v>6175</v>
      </c>
      <c r="E266" s="20">
        <f t="shared" si="13"/>
        <v>2981.3917349097169</v>
      </c>
      <c r="F266" s="19">
        <v>21</v>
      </c>
      <c r="G266" s="19">
        <v>5</v>
      </c>
      <c r="H266" s="26">
        <f t="shared" si="12"/>
        <v>45774.929999999993</v>
      </c>
      <c r="I266" s="26">
        <f t="shared" si="10"/>
        <v>50000</v>
      </c>
    </row>
    <row r="267" spans="1:9" ht="18.75" customHeight="1" x14ac:dyDescent="0.25">
      <c r="A267" s="21">
        <v>264</v>
      </c>
      <c r="B267" s="25" t="s">
        <v>278</v>
      </c>
      <c r="C267" s="19">
        <v>50</v>
      </c>
      <c r="D267" s="20">
        <f>SUM($C$3:C266)+C267/2</f>
        <v>6225</v>
      </c>
      <c r="E267" s="20">
        <f t="shared" si="13"/>
        <v>2991.9746992048435</v>
      </c>
      <c r="F267" s="19">
        <v>21</v>
      </c>
      <c r="G267" s="19">
        <v>5</v>
      </c>
      <c r="H267" s="26">
        <f t="shared" si="12"/>
        <v>46147.929999999993</v>
      </c>
      <c r="I267" s="26">
        <f t="shared" si="10"/>
        <v>50000</v>
      </c>
    </row>
    <row r="268" spans="1:9" ht="18.75" customHeight="1" x14ac:dyDescent="0.25">
      <c r="A268" s="21">
        <v>265</v>
      </c>
      <c r="B268" s="25" t="s">
        <v>279</v>
      </c>
      <c r="C268" s="19">
        <v>50</v>
      </c>
      <c r="D268" s="20">
        <f>SUM($C$3:C267)+C268/2</f>
        <v>6275</v>
      </c>
      <c r="E268" s="20">
        <f t="shared" si="13"/>
        <v>3002.5576634999707</v>
      </c>
      <c r="F268" s="19">
        <v>21</v>
      </c>
      <c r="G268" s="19">
        <v>5</v>
      </c>
      <c r="H268" s="26">
        <f t="shared" si="12"/>
        <v>46520.929999999993</v>
      </c>
      <c r="I268" s="26">
        <f t="shared" si="10"/>
        <v>50000</v>
      </c>
    </row>
    <row r="269" spans="1:9" ht="18.75" customHeight="1" x14ac:dyDescent="0.25">
      <c r="A269" s="21">
        <v>266</v>
      </c>
      <c r="B269" s="25" t="s">
        <v>280</v>
      </c>
      <c r="C269" s="19">
        <v>50</v>
      </c>
      <c r="D269" s="20">
        <f>SUM($C$3:C268)+C269/2</f>
        <v>6325</v>
      </c>
      <c r="E269" s="20">
        <f t="shared" si="13"/>
        <v>3013.1406277950973</v>
      </c>
      <c r="F269" s="19">
        <v>21</v>
      </c>
      <c r="G269" s="19">
        <v>5</v>
      </c>
      <c r="H269" s="26">
        <f t="shared" si="12"/>
        <v>46893.929999999993</v>
      </c>
      <c r="I269" s="26">
        <f t="shared" si="10"/>
        <v>50000</v>
      </c>
    </row>
    <row r="270" spans="1:9" ht="18.75" customHeight="1" x14ac:dyDescent="0.25">
      <c r="A270" s="21">
        <v>267</v>
      </c>
      <c r="B270" s="25" t="s">
        <v>281</v>
      </c>
      <c r="C270" s="19">
        <v>50</v>
      </c>
      <c r="D270" s="20">
        <f>SUM($C$3:C269)+C270/2</f>
        <v>6375</v>
      </c>
      <c r="E270" s="20">
        <f t="shared" si="13"/>
        <v>3023.723592090224</v>
      </c>
      <c r="F270" s="19">
        <v>21</v>
      </c>
      <c r="G270" s="19">
        <v>5</v>
      </c>
      <c r="H270" s="26">
        <f t="shared" si="12"/>
        <v>47266.929999999993</v>
      </c>
      <c r="I270" s="26">
        <f t="shared" si="10"/>
        <v>50000</v>
      </c>
    </row>
    <row r="271" spans="1:9" ht="18.75" customHeight="1" x14ac:dyDescent="0.25">
      <c r="A271" s="21">
        <v>268</v>
      </c>
      <c r="B271" s="25" t="s">
        <v>282</v>
      </c>
      <c r="C271" s="19">
        <v>50</v>
      </c>
      <c r="D271" s="20">
        <f>SUM($C$3:C270)+C271/2</f>
        <v>6425</v>
      </c>
      <c r="E271" s="20">
        <f t="shared" si="13"/>
        <v>3034.3065563853506</v>
      </c>
      <c r="F271" s="19">
        <v>21</v>
      </c>
      <c r="G271" s="19">
        <v>5</v>
      </c>
      <c r="H271" s="26">
        <f t="shared" si="12"/>
        <v>47639.929999999993</v>
      </c>
      <c r="I271" s="26">
        <f t="shared" si="10"/>
        <v>50000</v>
      </c>
    </row>
    <row r="272" spans="1:9" ht="18.75" customHeight="1" x14ac:dyDescent="0.25">
      <c r="A272" s="21">
        <v>269</v>
      </c>
      <c r="B272" s="25" t="s">
        <v>283</v>
      </c>
      <c r="C272" s="19">
        <v>50</v>
      </c>
      <c r="D272" s="20">
        <f>SUM($C$3:C271)+C272/2</f>
        <v>6475</v>
      </c>
      <c r="E272" s="20">
        <f t="shared" si="13"/>
        <v>3044.8895206804777</v>
      </c>
      <c r="F272" s="19">
        <v>21</v>
      </c>
      <c r="G272" s="19">
        <v>5</v>
      </c>
      <c r="H272" s="26">
        <f t="shared" si="12"/>
        <v>48012.929999999993</v>
      </c>
      <c r="I272" s="26">
        <f t="shared" si="10"/>
        <v>50000</v>
      </c>
    </row>
    <row r="273" spans="1:9" ht="18.75" customHeight="1" x14ac:dyDescent="0.25">
      <c r="A273" s="21">
        <v>270</v>
      </c>
      <c r="B273" s="25" t="s">
        <v>284</v>
      </c>
      <c r="C273" s="19">
        <v>50</v>
      </c>
      <c r="D273" s="20">
        <f>SUM($C$3:C272)+C273/2</f>
        <v>6525</v>
      </c>
      <c r="E273" s="20">
        <f t="shared" si="13"/>
        <v>3055.4724849756044</v>
      </c>
      <c r="F273" s="19">
        <v>21</v>
      </c>
      <c r="G273" s="19">
        <v>5</v>
      </c>
      <c r="H273" s="26">
        <f t="shared" si="12"/>
        <v>48385.929999999993</v>
      </c>
      <c r="I273" s="26">
        <f t="shared" si="10"/>
        <v>50000</v>
      </c>
    </row>
    <row r="274" spans="1:9" ht="18.75" customHeight="1" x14ac:dyDescent="0.25">
      <c r="A274" s="21">
        <v>271</v>
      </c>
      <c r="B274" s="25" t="s">
        <v>285</v>
      </c>
      <c r="C274" s="19">
        <v>50</v>
      </c>
      <c r="D274" s="20">
        <f>SUM($C$3:C273)+C274/2</f>
        <v>6575</v>
      </c>
      <c r="E274" s="20">
        <f t="shared" si="13"/>
        <v>3066.0554492707311</v>
      </c>
      <c r="F274" s="19">
        <v>21</v>
      </c>
      <c r="G274" s="19">
        <v>5</v>
      </c>
      <c r="H274" s="26">
        <f t="shared" si="12"/>
        <v>48758.929999999993</v>
      </c>
      <c r="I274" s="26">
        <f t="shared" si="10"/>
        <v>50000</v>
      </c>
    </row>
    <row r="275" spans="1:9" ht="18.75" customHeight="1" x14ac:dyDescent="0.25">
      <c r="A275" s="21">
        <v>272</v>
      </c>
      <c r="B275" s="25" t="s">
        <v>286</v>
      </c>
      <c r="C275" s="19">
        <v>50</v>
      </c>
      <c r="D275" s="20">
        <f>SUM($C$3:C274)+C275/2</f>
        <v>6625</v>
      </c>
      <c r="E275" s="20">
        <f t="shared" si="13"/>
        <v>3076.6384135658582</v>
      </c>
      <c r="F275" s="19">
        <v>21</v>
      </c>
      <c r="G275" s="19">
        <v>5</v>
      </c>
      <c r="H275" s="26">
        <f t="shared" si="12"/>
        <v>49131.929999999993</v>
      </c>
      <c r="I275" s="26">
        <f t="shared" ref="I275:I312" si="14">ROUND(H275, -4)</f>
        <v>50000</v>
      </c>
    </row>
    <row r="276" spans="1:9" ht="18.75" customHeight="1" x14ac:dyDescent="0.25">
      <c r="A276" s="21">
        <v>273</v>
      </c>
      <c r="B276" s="25" t="s">
        <v>287</v>
      </c>
      <c r="C276" s="19">
        <v>50</v>
      </c>
      <c r="D276" s="20">
        <f>SUM($C$3:C275)+C276/2</f>
        <v>6675</v>
      </c>
      <c r="E276" s="20">
        <f t="shared" si="13"/>
        <v>3087.2213778609848</v>
      </c>
      <c r="F276" s="19">
        <v>21</v>
      </c>
      <c r="G276" s="19">
        <v>5</v>
      </c>
      <c r="H276" s="26">
        <f t="shared" si="12"/>
        <v>49504.929999999993</v>
      </c>
      <c r="I276" s="26">
        <f t="shared" si="14"/>
        <v>50000</v>
      </c>
    </row>
    <row r="277" spans="1:9" ht="18.75" customHeight="1" x14ac:dyDescent="0.25">
      <c r="A277" s="21">
        <v>274</v>
      </c>
      <c r="B277" s="25" t="s">
        <v>288</v>
      </c>
      <c r="C277" s="19">
        <v>50</v>
      </c>
      <c r="D277" s="20">
        <f>SUM($C$3:C276)+C277/2</f>
        <v>6725</v>
      </c>
      <c r="E277" s="20">
        <f t="shared" si="13"/>
        <v>3097.8043421561115</v>
      </c>
      <c r="F277" s="19">
        <v>21</v>
      </c>
      <c r="G277" s="19">
        <v>5</v>
      </c>
      <c r="H277" s="26">
        <f t="shared" si="12"/>
        <v>49877.929999999993</v>
      </c>
      <c r="I277" s="26">
        <f t="shared" si="14"/>
        <v>50000</v>
      </c>
    </row>
    <row r="278" spans="1:9" ht="18.75" customHeight="1" x14ac:dyDescent="0.25">
      <c r="A278" s="21">
        <v>275</v>
      </c>
      <c r="B278" s="25" t="s">
        <v>289</v>
      </c>
      <c r="C278" s="19">
        <v>50</v>
      </c>
      <c r="D278" s="20">
        <f>SUM($C$3:C277)+C278/2</f>
        <v>6775</v>
      </c>
      <c r="E278" s="20">
        <f t="shared" si="13"/>
        <v>3108.3873064512381</v>
      </c>
      <c r="F278" s="19">
        <v>21</v>
      </c>
      <c r="G278" s="19">
        <v>5</v>
      </c>
      <c r="H278" s="26">
        <f t="shared" si="12"/>
        <v>50250.929999999993</v>
      </c>
      <c r="I278" s="26">
        <f t="shared" si="14"/>
        <v>50000</v>
      </c>
    </row>
    <row r="279" spans="1:9" ht="18.75" customHeight="1" x14ac:dyDescent="0.25">
      <c r="A279" s="21">
        <v>276</v>
      </c>
      <c r="B279" s="25" t="s">
        <v>290</v>
      </c>
      <c r="C279" s="19">
        <v>50</v>
      </c>
      <c r="D279" s="20">
        <f>SUM($C$3:C278)+C279/2</f>
        <v>6825</v>
      </c>
      <c r="E279" s="20">
        <f t="shared" si="13"/>
        <v>3118.9702707463653</v>
      </c>
      <c r="F279" s="19">
        <v>21</v>
      </c>
      <c r="G279" s="19">
        <v>5</v>
      </c>
      <c r="H279" s="26">
        <f t="shared" si="12"/>
        <v>50623.929999999993</v>
      </c>
      <c r="I279" s="26">
        <f t="shared" si="14"/>
        <v>50000</v>
      </c>
    </row>
    <row r="280" spans="1:9" ht="18.75" customHeight="1" x14ac:dyDescent="0.25">
      <c r="A280" s="21">
        <v>277</v>
      </c>
      <c r="B280" s="25" t="s">
        <v>291</v>
      </c>
      <c r="C280" s="19">
        <v>50</v>
      </c>
      <c r="D280" s="20">
        <f>SUM($C$3:C279)+C280/2</f>
        <v>6875</v>
      </c>
      <c r="E280" s="20">
        <f t="shared" si="13"/>
        <v>3129.5532350414919</v>
      </c>
      <c r="F280" s="19">
        <v>21</v>
      </c>
      <c r="G280" s="19">
        <v>5</v>
      </c>
      <c r="H280" s="26">
        <f t="shared" si="12"/>
        <v>50996.929999999993</v>
      </c>
      <c r="I280" s="26">
        <f t="shared" si="14"/>
        <v>50000</v>
      </c>
    </row>
    <row r="281" spans="1:9" ht="18.75" customHeight="1" x14ac:dyDescent="0.25">
      <c r="A281" s="21">
        <v>278</v>
      </c>
      <c r="B281" s="25" t="s">
        <v>292</v>
      </c>
      <c r="C281" s="19">
        <v>50</v>
      </c>
      <c r="D281" s="20">
        <f>SUM($C$3:C280)+C281/2</f>
        <v>6925</v>
      </c>
      <c r="E281" s="20">
        <f t="shared" si="13"/>
        <v>3140.1361993366186</v>
      </c>
      <c r="F281" s="19">
        <v>21</v>
      </c>
      <c r="G281" s="19">
        <v>5</v>
      </c>
      <c r="H281" s="26">
        <f t="shared" si="12"/>
        <v>51369.929999999993</v>
      </c>
      <c r="I281" s="26">
        <f t="shared" si="14"/>
        <v>50000</v>
      </c>
    </row>
    <row r="282" spans="1:9" ht="18.75" customHeight="1" x14ac:dyDescent="0.25">
      <c r="A282" s="21">
        <v>279</v>
      </c>
      <c r="B282" s="25" t="s">
        <v>293</v>
      </c>
      <c r="C282" s="19">
        <v>50</v>
      </c>
      <c r="D282" s="20">
        <f>SUM($C$3:C281)+C282/2</f>
        <v>6975</v>
      </c>
      <c r="E282" s="20">
        <f t="shared" si="13"/>
        <v>3150.7191636317457</v>
      </c>
      <c r="F282" s="19">
        <v>21</v>
      </c>
      <c r="G282" s="19">
        <v>5</v>
      </c>
      <c r="H282" s="26">
        <f t="shared" si="12"/>
        <v>51742.929999999993</v>
      </c>
      <c r="I282" s="26">
        <f t="shared" si="14"/>
        <v>50000</v>
      </c>
    </row>
    <row r="283" spans="1:9" ht="18.75" customHeight="1" x14ac:dyDescent="0.25">
      <c r="A283" s="21">
        <v>280</v>
      </c>
      <c r="B283" s="25" t="s">
        <v>294</v>
      </c>
      <c r="C283" s="19">
        <v>50</v>
      </c>
      <c r="D283" s="20">
        <f>SUM($C$3:C282)+C283/2</f>
        <v>7025</v>
      </c>
      <c r="E283" s="20">
        <f t="shared" si="13"/>
        <v>3161.3021279268723</v>
      </c>
      <c r="F283" s="19">
        <v>21</v>
      </c>
      <c r="G283" s="19">
        <v>5</v>
      </c>
      <c r="H283" s="26">
        <f t="shared" si="12"/>
        <v>52115.929999999993</v>
      </c>
      <c r="I283" s="26">
        <f t="shared" si="14"/>
        <v>50000</v>
      </c>
    </row>
    <row r="284" spans="1:9" ht="18.75" customHeight="1" x14ac:dyDescent="0.25">
      <c r="A284" s="21">
        <v>281</v>
      </c>
      <c r="B284" s="25" t="s">
        <v>295</v>
      </c>
      <c r="C284" s="19">
        <v>50</v>
      </c>
      <c r="D284" s="20">
        <f>SUM($C$3:C283)+C284/2</f>
        <v>7075</v>
      </c>
      <c r="E284" s="20">
        <f t="shared" si="13"/>
        <v>3171.885092221999</v>
      </c>
      <c r="F284" s="19">
        <v>21</v>
      </c>
      <c r="G284" s="19">
        <v>5</v>
      </c>
      <c r="H284" s="26">
        <f t="shared" si="12"/>
        <v>52488.929999999993</v>
      </c>
      <c r="I284" s="26">
        <f t="shared" si="14"/>
        <v>50000</v>
      </c>
    </row>
    <row r="285" spans="1:9" ht="18.75" customHeight="1" x14ac:dyDescent="0.25">
      <c r="A285" s="21">
        <v>282</v>
      </c>
      <c r="B285" s="25" t="s">
        <v>296</v>
      </c>
      <c r="C285" s="19">
        <v>50</v>
      </c>
      <c r="D285" s="20">
        <f>SUM($C$3:C284)+C285/2</f>
        <v>7125</v>
      </c>
      <c r="E285" s="20">
        <f t="shared" si="13"/>
        <v>3182.4680565171257</v>
      </c>
      <c r="F285" s="19">
        <v>21</v>
      </c>
      <c r="G285" s="19">
        <v>5</v>
      </c>
      <c r="H285" s="26">
        <f t="shared" si="12"/>
        <v>52861.929999999993</v>
      </c>
      <c r="I285" s="26">
        <f t="shared" si="14"/>
        <v>50000</v>
      </c>
    </row>
    <row r="286" spans="1:9" ht="18.75" customHeight="1" x14ac:dyDescent="0.25">
      <c r="A286" s="21">
        <v>283</v>
      </c>
      <c r="B286" s="25" t="s">
        <v>297</v>
      </c>
      <c r="C286" s="19">
        <v>50</v>
      </c>
      <c r="D286" s="20">
        <f>SUM($C$3:C285)+C286/2</f>
        <v>7175</v>
      </c>
      <c r="E286" s="20">
        <f t="shared" si="13"/>
        <v>3193.0510208122528</v>
      </c>
      <c r="F286" s="19">
        <v>21</v>
      </c>
      <c r="G286" s="19">
        <v>5</v>
      </c>
      <c r="H286" s="26">
        <f t="shared" si="12"/>
        <v>53234.929999999993</v>
      </c>
      <c r="I286" s="26">
        <f t="shared" si="14"/>
        <v>50000</v>
      </c>
    </row>
    <row r="287" spans="1:9" ht="18.75" customHeight="1" x14ac:dyDescent="0.25">
      <c r="A287" s="21">
        <v>284</v>
      </c>
      <c r="B287" s="25" t="s">
        <v>298</v>
      </c>
      <c r="C287" s="19">
        <v>50</v>
      </c>
      <c r="D287" s="20">
        <f>SUM($C$3:C286)+C287/2</f>
        <v>7225</v>
      </c>
      <c r="E287" s="20">
        <f t="shared" si="13"/>
        <v>3203.6339851073794</v>
      </c>
      <c r="F287" s="19">
        <v>21</v>
      </c>
      <c r="G287" s="19">
        <v>5</v>
      </c>
      <c r="H287" s="26">
        <f t="shared" si="12"/>
        <v>53607.929999999993</v>
      </c>
      <c r="I287" s="26">
        <f t="shared" si="14"/>
        <v>50000</v>
      </c>
    </row>
    <row r="288" spans="1:9" ht="18.75" customHeight="1" x14ac:dyDescent="0.25">
      <c r="A288" s="21">
        <v>285</v>
      </c>
      <c r="B288" s="25" t="s">
        <v>299</v>
      </c>
      <c r="C288" s="19">
        <v>50</v>
      </c>
      <c r="D288" s="20">
        <f>SUM($C$3:C287)+C288/2</f>
        <v>7275</v>
      </c>
      <c r="E288" s="20">
        <f t="shared" si="13"/>
        <v>3214.2169494025061</v>
      </c>
      <c r="F288" s="19">
        <v>21</v>
      </c>
      <c r="G288" s="19">
        <v>5</v>
      </c>
      <c r="H288" s="26">
        <f t="shared" si="12"/>
        <v>53980.929999999993</v>
      </c>
      <c r="I288" s="26">
        <f t="shared" si="14"/>
        <v>50000</v>
      </c>
    </row>
    <row r="289" spans="1:9" ht="18.75" customHeight="1" x14ac:dyDescent="0.25">
      <c r="A289" s="21">
        <v>286</v>
      </c>
      <c r="B289" s="25" t="s">
        <v>300</v>
      </c>
      <c r="C289" s="19">
        <v>50</v>
      </c>
      <c r="D289" s="20">
        <f>SUM($C$3:C288)+C289/2</f>
        <v>7325</v>
      </c>
      <c r="E289" s="20">
        <f t="shared" si="13"/>
        <v>3224.7999136976332</v>
      </c>
      <c r="F289" s="19">
        <v>21</v>
      </c>
      <c r="G289" s="19">
        <v>5</v>
      </c>
      <c r="H289" s="26">
        <f t="shared" si="12"/>
        <v>54353.929999999993</v>
      </c>
      <c r="I289" s="26">
        <f t="shared" si="14"/>
        <v>50000</v>
      </c>
    </row>
    <row r="290" spans="1:9" ht="18.75" customHeight="1" x14ac:dyDescent="0.25">
      <c r="A290" s="21">
        <v>287</v>
      </c>
      <c r="B290" s="25" t="s">
        <v>301</v>
      </c>
      <c r="C290" s="19">
        <v>50</v>
      </c>
      <c r="D290" s="20">
        <f>SUM($C$3:C289)+C290/2</f>
        <v>7375</v>
      </c>
      <c r="E290" s="20">
        <f t="shared" si="13"/>
        <v>3235.3828779927599</v>
      </c>
      <c r="F290" s="19">
        <v>21</v>
      </c>
      <c r="G290" s="19">
        <v>5</v>
      </c>
      <c r="H290" s="26">
        <f t="shared" si="12"/>
        <v>54726.929999999993</v>
      </c>
      <c r="I290" s="26">
        <f t="shared" si="14"/>
        <v>50000</v>
      </c>
    </row>
    <row r="291" spans="1:9" ht="18.75" customHeight="1" x14ac:dyDescent="0.25">
      <c r="A291" s="21">
        <v>288</v>
      </c>
      <c r="B291" s="25" t="s">
        <v>302</v>
      </c>
      <c r="C291" s="19">
        <v>50</v>
      </c>
      <c r="D291" s="20">
        <f>SUM($C$3:C290)+C291/2</f>
        <v>7425</v>
      </c>
      <c r="E291" s="20">
        <f t="shared" si="13"/>
        <v>3245.9658422878865</v>
      </c>
      <c r="F291" s="19">
        <v>21</v>
      </c>
      <c r="G291" s="19">
        <v>5</v>
      </c>
      <c r="H291" s="26">
        <f t="shared" si="12"/>
        <v>55099.929999999993</v>
      </c>
      <c r="I291" s="26">
        <f t="shared" si="14"/>
        <v>60000</v>
      </c>
    </row>
    <row r="292" spans="1:9" ht="18.75" customHeight="1" x14ac:dyDescent="0.25">
      <c r="A292" s="21">
        <v>289</v>
      </c>
      <c r="B292" s="25" t="s">
        <v>303</v>
      </c>
      <c r="C292" s="19">
        <v>50</v>
      </c>
      <c r="D292" s="20">
        <f>SUM($C$3:C291)+C292/2</f>
        <v>7475</v>
      </c>
      <c r="E292" s="20">
        <f t="shared" si="13"/>
        <v>3256.5488065830132</v>
      </c>
      <c r="F292" s="19">
        <v>21</v>
      </c>
      <c r="G292" s="19">
        <v>5</v>
      </c>
      <c r="H292" s="26">
        <f t="shared" ref="H292:H312" si="15">2/3*(240*19+(D292-240)*21-(D292-4.5)*9.81)</f>
        <v>55472.929999999993</v>
      </c>
      <c r="I292" s="26">
        <f t="shared" si="14"/>
        <v>60000</v>
      </c>
    </row>
    <row r="293" spans="1:9" ht="18.75" customHeight="1" x14ac:dyDescent="0.25">
      <c r="A293" s="21">
        <v>290</v>
      </c>
      <c r="B293" s="25" t="s">
        <v>304</v>
      </c>
      <c r="C293" s="19">
        <v>50</v>
      </c>
      <c r="D293" s="20">
        <f>SUM($C$3:C292)+C293/2</f>
        <v>7525</v>
      </c>
      <c r="E293" s="20">
        <f t="shared" si="13"/>
        <v>3267.1317708781403</v>
      </c>
      <c r="F293" s="19">
        <v>21</v>
      </c>
      <c r="G293" s="19">
        <v>5</v>
      </c>
      <c r="H293" s="26">
        <f t="shared" si="15"/>
        <v>55845.929999999993</v>
      </c>
      <c r="I293" s="26">
        <f t="shared" si="14"/>
        <v>60000</v>
      </c>
    </row>
    <row r="294" spans="1:9" ht="18.75" customHeight="1" x14ac:dyDescent="0.25">
      <c r="A294" s="21">
        <v>291</v>
      </c>
      <c r="B294" s="25" t="s">
        <v>305</v>
      </c>
      <c r="C294" s="19">
        <v>50</v>
      </c>
      <c r="D294" s="20">
        <f>SUM($C$3:C293)+C294/2</f>
        <v>7575</v>
      </c>
      <c r="E294" s="20">
        <f t="shared" si="13"/>
        <v>3277.7147351732669</v>
      </c>
      <c r="F294" s="19">
        <v>21</v>
      </c>
      <c r="G294" s="19">
        <v>5</v>
      </c>
      <c r="H294" s="26">
        <f t="shared" si="15"/>
        <v>56218.929999999993</v>
      </c>
      <c r="I294" s="26">
        <f t="shared" si="14"/>
        <v>60000</v>
      </c>
    </row>
    <row r="295" spans="1:9" ht="18.75" customHeight="1" x14ac:dyDescent="0.25">
      <c r="A295" s="21">
        <v>292</v>
      </c>
      <c r="B295" s="25" t="s">
        <v>306</v>
      </c>
      <c r="C295" s="19">
        <v>50</v>
      </c>
      <c r="D295" s="20">
        <f>SUM($C$3:C294)+C295/2</f>
        <v>7625</v>
      </c>
      <c r="E295" s="20">
        <f t="shared" ref="E295:E311" si="16">($E$312-$E$262)/($D$312-$D$262)*(D295-$D$312)+$E$312</f>
        <v>3288.2976994683936</v>
      </c>
      <c r="F295" s="19">
        <v>21</v>
      </c>
      <c r="G295" s="19">
        <v>5</v>
      </c>
      <c r="H295" s="26">
        <f t="shared" si="15"/>
        <v>56591.929999999993</v>
      </c>
      <c r="I295" s="26">
        <f t="shared" si="14"/>
        <v>60000</v>
      </c>
    </row>
    <row r="296" spans="1:9" ht="18.75" customHeight="1" x14ac:dyDescent="0.25">
      <c r="A296" s="21">
        <v>293</v>
      </c>
      <c r="B296" s="25" t="s">
        <v>307</v>
      </c>
      <c r="C296" s="19">
        <v>50</v>
      </c>
      <c r="D296" s="20">
        <f>SUM($C$3:C295)+C296/2</f>
        <v>7675</v>
      </c>
      <c r="E296" s="20">
        <f t="shared" si="16"/>
        <v>3298.8806637635207</v>
      </c>
      <c r="F296" s="19">
        <v>21</v>
      </c>
      <c r="G296" s="19">
        <v>5</v>
      </c>
      <c r="H296" s="26">
        <f t="shared" si="15"/>
        <v>56964.929999999993</v>
      </c>
      <c r="I296" s="26">
        <f t="shared" si="14"/>
        <v>60000</v>
      </c>
    </row>
    <row r="297" spans="1:9" ht="18.75" customHeight="1" x14ac:dyDescent="0.25">
      <c r="A297" s="21">
        <v>294</v>
      </c>
      <c r="B297" s="25" t="s">
        <v>308</v>
      </c>
      <c r="C297" s="19">
        <v>50</v>
      </c>
      <c r="D297" s="20">
        <f>SUM($C$3:C296)+C297/2</f>
        <v>7725</v>
      </c>
      <c r="E297" s="20">
        <f t="shared" si="16"/>
        <v>3309.4636280586474</v>
      </c>
      <c r="F297" s="19">
        <v>21</v>
      </c>
      <c r="G297" s="19">
        <v>5</v>
      </c>
      <c r="H297" s="26">
        <f t="shared" si="15"/>
        <v>57337.929999999993</v>
      </c>
      <c r="I297" s="26">
        <f t="shared" si="14"/>
        <v>60000</v>
      </c>
    </row>
    <row r="298" spans="1:9" ht="18.75" customHeight="1" x14ac:dyDescent="0.25">
      <c r="A298" s="21">
        <v>295</v>
      </c>
      <c r="B298" s="25" t="s">
        <v>309</v>
      </c>
      <c r="C298" s="19">
        <v>50</v>
      </c>
      <c r="D298" s="20">
        <f>SUM($C$3:C297)+C298/2</f>
        <v>7775</v>
      </c>
      <c r="E298" s="20">
        <f t="shared" si="16"/>
        <v>3320.046592353774</v>
      </c>
      <c r="F298" s="19">
        <v>21</v>
      </c>
      <c r="G298" s="19">
        <v>5</v>
      </c>
      <c r="H298" s="26">
        <f t="shared" si="15"/>
        <v>57710.929999999993</v>
      </c>
      <c r="I298" s="26">
        <f t="shared" si="14"/>
        <v>60000</v>
      </c>
    </row>
    <row r="299" spans="1:9" ht="18.75" customHeight="1" x14ac:dyDescent="0.25">
      <c r="A299" s="21">
        <v>296</v>
      </c>
      <c r="B299" s="25" t="s">
        <v>310</v>
      </c>
      <c r="C299" s="19">
        <v>50</v>
      </c>
      <c r="D299" s="20">
        <f>SUM($C$3:C298)+C299/2</f>
        <v>7825</v>
      </c>
      <c r="E299" s="20">
        <f t="shared" si="16"/>
        <v>3330.6295566489007</v>
      </c>
      <c r="F299" s="19">
        <v>21</v>
      </c>
      <c r="G299" s="19">
        <v>5</v>
      </c>
      <c r="H299" s="26">
        <f t="shared" si="15"/>
        <v>58083.929999999993</v>
      </c>
      <c r="I299" s="26">
        <f t="shared" si="14"/>
        <v>60000</v>
      </c>
    </row>
    <row r="300" spans="1:9" ht="18.75" customHeight="1" x14ac:dyDescent="0.25">
      <c r="A300" s="21">
        <v>297</v>
      </c>
      <c r="B300" s="25" t="s">
        <v>311</v>
      </c>
      <c r="C300" s="19">
        <v>50</v>
      </c>
      <c r="D300" s="20">
        <f>SUM($C$3:C299)+C300/2</f>
        <v>7875</v>
      </c>
      <c r="E300" s="20">
        <f t="shared" si="16"/>
        <v>3341.2125209440278</v>
      </c>
      <c r="F300" s="19">
        <v>21</v>
      </c>
      <c r="G300" s="19">
        <v>5</v>
      </c>
      <c r="H300" s="26">
        <f t="shared" si="15"/>
        <v>58456.929999999993</v>
      </c>
      <c r="I300" s="26">
        <f t="shared" si="14"/>
        <v>60000</v>
      </c>
    </row>
    <row r="301" spans="1:9" ht="18.75" customHeight="1" x14ac:dyDescent="0.25">
      <c r="A301" s="21">
        <v>298</v>
      </c>
      <c r="B301" s="25" t="s">
        <v>312</v>
      </c>
      <c r="C301" s="19">
        <v>50</v>
      </c>
      <c r="D301" s="20">
        <f>SUM($C$3:C300)+C301/2</f>
        <v>7925</v>
      </c>
      <c r="E301" s="20">
        <f t="shared" si="16"/>
        <v>3351.7954852391545</v>
      </c>
      <c r="F301" s="19">
        <v>21</v>
      </c>
      <c r="G301" s="19">
        <v>5</v>
      </c>
      <c r="H301" s="26">
        <f t="shared" si="15"/>
        <v>58829.929999999993</v>
      </c>
      <c r="I301" s="26">
        <f t="shared" si="14"/>
        <v>60000</v>
      </c>
    </row>
    <row r="302" spans="1:9" ht="18.75" customHeight="1" x14ac:dyDescent="0.25">
      <c r="A302" s="21">
        <v>299</v>
      </c>
      <c r="B302" s="25" t="s">
        <v>313</v>
      </c>
      <c r="C302" s="19">
        <v>50</v>
      </c>
      <c r="D302" s="20">
        <f>SUM($C$3:C301)+C302/2</f>
        <v>7975</v>
      </c>
      <c r="E302" s="20">
        <f t="shared" si="16"/>
        <v>3362.3784495342811</v>
      </c>
      <c r="F302" s="19">
        <v>21</v>
      </c>
      <c r="G302" s="19">
        <v>5</v>
      </c>
      <c r="H302" s="26">
        <f t="shared" si="15"/>
        <v>59202.929999999993</v>
      </c>
      <c r="I302" s="26">
        <f t="shared" si="14"/>
        <v>60000</v>
      </c>
    </row>
    <row r="303" spans="1:9" ht="18.75" customHeight="1" x14ac:dyDescent="0.25">
      <c r="A303" s="21">
        <v>300</v>
      </c>
      <c r="B303" s="25" t="s">
        <v>314</v>
      </c>
      <c r="C303" s="19">
        <v>50</v>
      </c>
      <c r="D303" s="20">
        <f>SUM($C$3:C302)+C303/2</f>
        <v>8025</v>
      </c>
      <c r="E303" s="20">
        <f t="shared" si="16"/>
        <v>3372.9614138294078</v>
      </c>
      <c r="F303" s="19">
        <v>21</v>
      </c>
      <c r="G303" s="19">
        <v>5</v>
      </c>
      <c r="H303" s="26">
        <f t="shared" si="15"/>
        <v>59575.929999999993</v>
      </c>
      <c r="I303" s="26">
        <f t="shared" si="14"/>
        <v>60000</v>
      </c>
    </row>
    <row r="304" spans="1:9" ht="18.75" customHeight="1" x14ac:dyDescent="0.25">
      <c r="A304" s="21">
        <v>301</v>
      </c>
      <c r="B304" s="25" t="s">
        <v>315</v>
      </c>
      <c r="C304" s="19">
        <v>50</v>
      </c>
      <c r="D304" s="20">
        <f>SUM($C$3:C303)+C304/2</f>
        <v>8075</v>
      </c>
      <c r="E304" s="20">
        <f t="shared" si="16"/>
        <v>3383.5443781245349</v>
      </c>
      <c r="F304" s="19">
        <v>21</v>
      </c>
      <c r="G304" s="19">
        <v>5</v>
      </c>
      <c r="H304" s="26">
        <f t="shared" si="15"/>
        <v>59948.929999999993</v>
      </c>
      <c r="I304" s="26">
        <f t="shared" si="14"/>
        <v>60000</v>
      </c>
    </row>
    <row r="305" spans="1:9" ht="18.75" customHeight="1" x14ac:dyDescent="0.25">
      <c r="A305" s="21">
        <v>302</v>
      </c>
      <c r="B305" s="25" t="s">
        <v>316</v>
      </c>
      <c r="C305" s="19">
        <v>50</v>
      </c>
      <c r="D305" s="20">
        <f>SUM($C$3:C304)+C305/2</f>
        <v>8125</v>
      </c>
      <c r="E305" s="20">
        <f t="shared" si="16"/>
        <v>3394.1273424196615</v>
      </c>
      <c r="F305" s="19">
        <v>21</v>
      </c>
      <c r="G305" s="19">
        <v>5</v>
      </c>
      <c r="H305" s="26">
        <f t="shared" si="15"/>
        <v>60321.929999999993</v>
      </c>
      <c r="I305" s="26">
        <f t="shared" si="14"/>
        <v>60000</v>
      </c>
    </row>
    <row r="306" spans="1:9" ht="18.75" customHeight="1" x14ac:dyDescent="0.25">
      <c r="A306" s="21">
        <v>303</v>
      </c>
      <c r="B306" s="25" t="s">
        <v>317</v>
      </c>
      <c r="C306" s="19">
        <v>50</v>
      </c>
      <c r="D306" s="20">
        <f>SUM($C$3:C305)+C306/2</f>
        <v>8175</v>
      </c>
      <c r="E306" s="20">
        <f t="shared" si="16"/>
        <v>3404.7103067147882</v>
      </c>
      <c r="F306" s="19">
        <v>21</v>
      </c>
      <c r="G306" s="19">
        <v>5</v>
      </c>
      <c r="H306" s="26">
        <f t="shared" si="15"/>
        <v>60694.929999999993</v>
      </c>
      <c r="I306" s="26">
        <f t="shared" si="14"/>
        <v>60000</v>
      </c>
    </row>
    <row r="307" spans="1:9" ht="18.75" customHeight="1" x14ac:dyDescent="0.25">
      <c r="A307" s="21">
        <v>304</v>
      </c>
      <c r="B307" s="25" t="s">
        <v>318</v>
      </c>
      <c r="C307" s="19">
        <v>50</v>
      </c>
      <c r="D307" s="20">
        <f>SUM($C$3:C306)+C307/2</f>
        <v>8225</v>
      </c>
      <c r="E307" s="20">
        <f t="shared" si="16"/>
        <v>3415.2932710099153</v>
      </c>
      <c r="F307" s="19">
        <v>21</v>
      </c>
      <c r="G307" s="19">
        <v>5</v>
      </c>
      <c r="H307" s="26">
        <f t="shared" si="15"/>
        <v>61067.929999999993</v>
      </c>
      <c r="I307" s="26">
        <f t="shared" si="14"/>
        <v>60000</v>
      </c>
    </row>
    <row r="308" spans="1:9" ht="18.75" customHeight="1" x14ac:dyDescent="0.25">
      <c r="A308" s="21">
        <v>305</v>
      </c>
      <c r="B308" s="25" t="s">
        <v>319</v>
      </c>
      <c r="C308" s="19">
        <v>50</v>
      </c>
      <c r="D308" s="20">
        <f>SUM($C$3:C307)+C308/2</f>
        <v>8275</v>
      </c>
      <c r="E308" s="20">
        <f t="shared" si="16"/>
        <v>3425.876235305042</v>
      </c>
      <c r="F308" s="19">
        <v>21</v>
      </c>
      <c r="G308" s="19">
        <v>5</v>
      </c>
      <c r="H308" s="26">
        <f t="shared" si="15"/>
        <v>61440.929999999993</v>
      </c>
      <c r="I308" s="26">
        <f t="shared" si="14"/>
        <v>60000</v>
      </c>
    </row>
    <row r="309" spans="1:9" ht="18.75" customHeight="1" x14ac:dyDescent="0.25">
      <c r="A309" s="21">
        <v>306</v>
      </c>
      <c r="B309" s="25" t="s">
        <v>320</v>
      </c>
      <c r="C309" s="19">
        <v>50</v>
      </c>
      <c r="D309" s="20">
        <f>SUM($C$3:C308)+C309/2</f>
        <v>8325</v>
      </c>
      <c r="E309" s="20">
        <f t="shared" si="16"/>
        <v>3436.4591996001686</v>
      </c>
      <c r="F309" s="19">
        <v>21</v>
      </c>
      <c r="G309" s="19">
        <v>5</v>
      </c>
      <c r="H309" s="26">
        <f t="shared" si="15"/>
        <v>61813.929999999993</v>
      </c>
      <c r="I309" s="26">
        <f t="shared" si="14"/>
        <v>60000</v>
      </c>
    </row>
    <row r="310" spans="1:9" ht="18.75" customHeight="1" x14ac:dyDescent="0.25">
      <c r="A310" s="21">
        <v>307</v>
      </c>
      <c r="B310" s="25" t="s">
        <v>321</v>
      </c>
      <c r="C310" s="19">
        <v>50</v>
      </c>
      <c r="D310" s="20">
        <f>SUM($C$3:C309)+C310/2</f>
        <v>8375</v>
      </c>
      <c r="E310" s="20">
        <f t="shared" si="16"/>
        <v>3447.0421638952953</v>
      </c>
      <c r="F310" s="19">
        <v>21</v>
      </c>
      <c r="G310" s="19">
        <v>5</v>
      </c>
      <c r="H310" s="26">
        <f t="shared" si="15"/>
        <v>62186.929999999993</v>
      </c>
      <c r="I310" s="26">
        <f t="shared" si="14"/>
        <v>60000</v>
      </c>
    </row>
    <row r="311" spans="1:9" ht="18.75" customHeight="1" x14ac:dyDescent="0.25">
      <c r="A311" s="21">
        <v>308</v>
      </c>
      <c r="B311" s="25" t="s">
        <v>322</v>
      </c>
      <c r="C311" s="19">
        <v>50</v>
      </c>
      <c r="D311" s="20">
        <f>SUM($C$3:C310)+C311/2</f>
        <v>8425</v>
      </c>
      <c r="E311" s="20">
        <f t="shared" si="16"/>
        <v>3457.6251281904224</v>
      </c>
      <c r="F311" s="19">
        <v>21</v>
      </c>
      <c r="G311" s="19">
        <v>5</v>
      </c>
      <c r="H311" s="26">
        <f t="shared" si="15"/>
        <v>62559.929999999993</v>
      </c>
      <c r="I311" s="26">
        <f t="shared" si="14"/>
        <v>60000</v>
      </c>
    </row>
    <row r="312" spans="1:9" ht="18.75" customHeight="1" x14ac:dyDescent="0.25">
      <c r="A312" s="21">
        <v>309</v>
      </c>
      <c r="B312" s="25" t="s">
        <v>323</v>
      </c>
      <c r="C312" s="19">
        <v>50</v>
      </c>
      <c r="D312" s="20">
        <f>SUM($C$3:C311)+C312/2</f>
        <v>8475</v>
      </c>
      <c r="E312" s="20">
        <f>6000/1.73</f>
        <v>3468.2080924855491</v>
      </c>
      <c r="F312" s="19">
        <v>21</v>
      </c>
      <c r="G312" s="19">
        <v>5</v>
      </c>
      <c r="H312" s="26">
        <f t="shared" si="15"/>
        <v>62932.929999999993</v>
      </c>
      <c r="I312" s="26">
        <f t="shared" si="14"/>
        <v>60000</v>
      </c>
    </row>
    <row r="313" spans="1:9" ht="18.75" customHeight="1" x14ac:dyDescent="0.25">
      <c r="B313" s="15"/>
      <c r="C313" s="9"/>
      <c r="D313" s="3"/>
      <c r="F313" s="9"/>
      <c r="G313" s="9"/>
    </row>
    <row r="314" spans="1:9" ht="18.75" customHeight="1" x14ac:dyDescent="0.25">
      <c r="B314" s="15"/>
      <c r="C314" s="9"/>
      <c r="D314" s="3"/>
      <c r="F314" s="9"/>
      <c r="G314" s="9"/>
    </row>
    <row r="315" spans="1:9" ht="18.75" customHeight="1" x14ac:dyDescent="0.25">
      <c r="B315" s="15"/>
      <c r="C315" s="9"/>
      <c r="D315" s="3"/>
      <c r="F315" s="9"/>
      <c r="G315" s="9"/>
    </row>
    <row r="316" spans="1:9" ht="18.75" customHeight="1" x14ac:dyDescent="0.25">
      <c r="B316" s="15"/>
      <c r="C316" s="9"/>
      <c r="D316" s="3"/>
      <c r="F316" s="9"/>
      <c r="G316" s="9"/>
    </row>
    <row r="317" spans="1:9" ht="18.75" customHeight="1" x14ac:dyDescent="0.25">
      <c r="B317" s="15"/>
      <c r="C317" s="9"/>
      <c r="D317" s="3"/>
      <c r="F317" s="9"/>
      <c r="G317" s="9"/>
    </row>
    <row r="318" spans="1:9" ht="18.75" customHeight="1" x14ac:dyDescent="0.25">
      <c r="B318" s="15"/>
      <c r="C318" s="9"/>
      <c r="D318" s="3"/>
      <c r="F318" s="9"/>
      <c r="G318" s="9"/>
    </row>
    <row r="319" spans="1:9" ht="18.75" customHeight="1" x14ac:dyDescent="0.25">
      <c r="B319" s="15"/>
      <c r="C319" s="9"/>
      <c r="D319" s="3"/>
      <c r="F319" s="9"/>
      <c r="G319" s="9"/>
    </row>
    <row r="320" spans="1:9" ht="18.75" customHeight="1" x14ac:dyDescent="0.25">
      <c r="B320" s="15"/>
      <c r="C320" s="9"/>
      <c r="D320" s="3"/>
      <c r="F320" s="9"/>
      <c r="G320" s="9"/>
    </row>
    <row r="321" spans="2:7" ht="18.75" customHeight="1" x14ac:dyDescent="0.25">
      <c r="B321" s="15"/>
      <c r="C321" s="9"/>
      <c r="D321" s="3"/>
      <c r="F321" s="9"/>
      <c r="G321" s="9"/>
    </row>
    <row r="322" spans="2:7" ht="18.75" customHeight="1" x14ac:dyDescent="0.25">
      <c r="B322" s="15"/>
      <c r="C322" s="9"/>
      <c r="D322" s="3"/>
      <c r="F322" s="9"/>
      <c r="G322" s="9"/>
    </row>
    <row r="323" spans="2:7" ht="18.75" customHeight="1" x14ac:dyDescent="0.25">
      <c r="B323" s="15"/>
      <c r="C323" s="9"/>
      <c r="D323" s="3"/>
      <c r="F323" s="9"/>
      <c r="G323" s="9"/>
    </row>
    <row r="324" spans="2:7" ht="18.75" customHeight="1" x14ac:dyDescent="0.25">
      <c r="B324" s="15"/>
      <c r="C324" s="9"/>
      <c r="D324" s="3"/>
      <c r="F324" s="9"/>
      <c r="G324" s="9"/>
    </row>
    <row r="325" spans="2:7" ht="18.75" customHeight="1" x14ac:dyDescent="0.25">
      <c r="B325" s="15"/>
      <c r="C325" s="9"/>
      <c r="D325" s="3"/>
      <c r="F325" s="9"/>
      <c r="G325" s="9"/>
    </row>
    <row r="326" spans="2:7" ht="18.75" customHeight="1" x14ac:dyDescent="0.25">
      <c r="C326" s="9"/>
      <c r="D326" s="3"/>
    </row>
    <row r="327" spans="2:7" ht="18.75" customHeight="1" x14ac:dyDescent="0.25">
      <c r="C327" s="9"/>
      <c r="D327" s="3"/>
    </row>
    <row r="328" spans="2:7" ht="18.75" customHeight="1" x14ac:dyDescent="0.25">
      <c r="C328" s="9"/>
      <c r="D328" s="3"/>
    </row>
    <row r="329" spans="2:7" ht="18.75" customHeight="1" x14ac:dyDescent="0.25">
      <c r="C329" s="9"/>
      <c r="D329" s="3"/>
    </row>
    <row r="330" spans="2:7" ht="18.75" customHeight="1" x14ac:dyDescent="0.25">
      <c r="C330" s="9"/>
      <c r="D330" s="3"/>
    </row>
    <row r="331" spans="2:7" ht="18.75" customHeight="1" x14ac:dyDescent="0.25">
      <c r="C331" s="9"/>
      <c r="D331" s="3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331"/>
  <sheetViews>
    <sheetView topLeftCell="A13" workbookViewId="0">
      <selection activeCell="C33" sqref="C33"/>
    </sheetView>
  </sheetViews>
  <sheetFormatPr defaultColWidth="8.85546875" defaultRowHeight="15" x14ac:dyDescent="0.25"/>
  <cols>
    <col min="1" max="1" width="13.42578125" style="1" bestFit="1" customWidth="1"/>
    <col min="2" max="2" width="33" bestFit="1" customWidth="1"/>
    <col min="3" max="6" width="13.42578125" style="4" bestFit="1" customWidth="1"/>
    <col min="7" max="7" width="13.28515625" style="6" bestFit="1" customWidth="1"/>
    <col min="8" max="8" width="19.7109375" style="1" bestFit="1" customWidth="1"/>
    <col min="9" max="9" width="12.140625" style="1" bestFit="1" customWidth="1"/>
    <col min="10" max="10" width="19.85546875" style="6" bestFit="1" customWidth="1"/>
    <col min="11" max="11" width="19.28515625" style="6" bestFit="1" customWidth="1"/>
    <col min="12" max="12" width="19.85546875" style="6" bestFit="1" customWidth="1"/>
    <col min="13" max="13" width="25.42578125" style="6" bestFit="1" customWidth="1"/>
    <col min="14" max="16" width="13.42578125" style="1" bestFit="1" customWidth="1"/>
  </cols>
  <sheetData>
    <row r="1" spans="1:16" ht="18.75" customHeight="1" x14ac:dyDescent="0.25">
      <c r="B1" s="2" t="s">
        <v>9</v>
      </c>
      <c r="C1" s="3">
        <v>4.5</v>
      </c>
      <c r="E1" s="5" t="s">
        <v>10</v>
      </c>
      <c r="F1" s="5"/>
    </row>
    <row r="2" spans="1:16" ht="18.75" customHeight="1" x14ac:dyDescent="0.25"/>
    <row r="3" spans="1:16" ht="18.75" customHeight="1" x14ac:dyDescent="0.25">
      <c r="A3" s="7" t="s">
        <v>11</v>
      </c>
      <c r="B3" s="8" t="s">
        <v>12</v>
      </c>
      <c r="C3" s="3" t="s">
        <v>2</v>
      </c>
      <c r="D3" s="3" t="s">
        <v>324</v>
      </c>
      <c r="E3" s="3" t="s">
        <v>1</v>
      </c>
      <c r="F3" s="3" t="s">
        <v>325</v>
      </c>
      <c r="G3" s="3" t="s">
        <v>6</v>
      </c>
      <c r="H3" s="9" t="s">
        <v>3</v>
      </c>
      <c r="I3" s="9" t="s">
        <v>4</v>
      </c>
      <c r="J3" s="3" t="s">
        <v>326</v>
      </c>
      <c r="K3" s="3" t="s">
        <v>327</v>
      </c>
      <c r="L3" s="3" t="s">
        <v>328</v>
      </c>
      <c r="M3" s="3" t="s">
        <v>329</v>
      </c>
      <c r="N3" s="10" t="s">
        <v>330</v>
      </c>
      <c r="O3" s="11" t="s">
        <v>4</v>
      </c>
      <c r="P3" s="11" t="s">
        <v>331</v>
      </c>
    </row>
    <row r="4" spans="1:16" ht="18.75" customHeight="1" x14ac:dyDescent="0.25">
      <c r="A4" s="12">
        <v>1</v>
      </c>
      <c r="B4" t="s">
        <v>15</v>
      </c>
      <c r="C4" s="3">
        <v>1.5</v>
      </c>
      <c r="D4" s="9">
        <f>0</f>
        <v>0</v>
      </c>
      <c r="E4" s="3">
        <f>SUM($C$3:C3)+C4/2</f>
        <v>0.75</v>
      </c>
      <c r="F4" s="3">
        <f t="shared" ref="F4:F31" si="0">D4+C4</f>
        <v>1.5</v>
      </c>
      <c r="G4" s="3">
        <v>147.601</v>
      </c>
      <c r="H4" s="9">
        <v>19</v>
      </c>
      <c r="I4" s="9">
        <v>5</v>
      </c>
      <c r="J4" s="13">
        <f>H4*E4</f>
        <v>14.25</v>
      </c>
      <c r="K4" s="12">
        <v>0</v>
      </c>
      <c r="L4" s="13">
        <f t="shared" ref="L4:L31" si="1">J4-K4</f>
        <v>14.25</v>
      </c>
      <c r="M4" s="12">
        <v>25</v>
      </c>
      <c r="N4" s="14">
        <v>25</v>
      </c>
      <c r="O4" s="14">
        <v>5</v>
      </c>
      <c r="P4" s="14">
        <v>1</v>
      </c>
    </row>
    <row r="5" spans="1:16" ht="18.75" customHeight="1" x14ac:dyDescent="0.25">
      <c r="A5" s="12">
        <v>2</v>
      </c>
      <c r="B5" t="s">
        <v>16</v>
      </c>
      <c r="C5" s="9">
        <v>1</v>
      </c>
      <c r="D5" s="3">
        <f t="shared" ref="D5:D31" si="2">D4+C4</f>
        <v>1.5</v>
      </c>
      <c r="E5" s="3">
        <f>SUM($C$3:C4)+C5/2</f>
        <v>2</v>
      </c>
      <c r="F5" s="3">
        <f t="shared" si="0"/>
        <v>2.5</v>
      </c>
      <c r="G5" s="3">
        <v>147.601</v>
      </c>
      <c r="H5" s="9">
        <v>19</v>
      </c>
      <c r="I5" s="9">
        <v>20</v>
      </c>
      <c r="J5" s="12">
        <f t="shared" ref="J5:J31" si="3">H5*(E5-E4)+J4</f>
        <v>38</v>
      </c>
      <c r="K5" s="12">
        <v>0</v>
      </c>
      <c r="L5" s="12">
        <f t="shared" si="1"/>
        <v>38</v>
      </c>
      <c r="M5" s="13">
        <f t="shared" ref="M5:M31" si="4">2/3*L5</f>
        <v>25.333333333333332</v>
      </c>
      <c r="N5" s="14">
        <v>25</v>
      </c>
      <c r="O5" s="14">
        <v>20</v>
      </c>
      <c r="P5" s="14">
        <v>2</v>
      </c>
    </row>
    <row r="6" spans="1:16" ht="18.75" customHeight="1" x14ac:dyDescent="0.25">
      <c r="A6" s="12">
        <v>3</v>
      </c>
      <c r="B6" t="s">
        <v>17</v>
      </c>
      <c r="C6" s="9">
        <v>1</v>
      </c>
      <c r="D6" s="3">
        <f t="shared" si="2"/>
        <v>2.5</v>
      </c>
      <c r="E6" s="3">
        <f>SUM($C$3:C5)+C6/2</f>
        <v>3</v>
      </c>
      <c r="F6" s="3">
        <f t="shared" si="0"/>
        <v>3.5</v>
      </c>
      <c r="G6" s="3">
        <v>147.601</v>
      </c>
      <c r="H6" s="9">
        <v>19</v>
      </c>
      <c r="I6" s="9">
        <v>5</v>
      </c>
      <c r="J6" s="12">
        <f t="shared" si="3"/>
        <v>57</v>
      </c>
      <c r="K6" s="12">
        <v>0</v>
      </c>
      <c r="L6" s="12">
        <f t="shared" si="1"/>
        <v>57</v>
      </c>
      <c r="M6" s="12">
        <f t="shared" si="4"/>
        <v>38</v>
      </c>
      <c r="N6" s="14">
        <v>50</v>
      </c>
      <c r="O6" s="14">
        <v>5</v>
      </c>
      <c r="P6" s="14">
        <v>3</v>
      </c>
    </row>
    <row r="7" spans="1:16" ht="18.75" customHeight="1" x14ac:dyDescent="0.25">
      <c r="A7" s="12">
        <v>4</v>
      </c>
      <c r="B7" t="s">
        <v>18</v>
      </c>
      <c r="C7" s="9">
        <v>1</v>
      </c>
      <c r="D7" s="3">
        <f t="shared" si="2"/>
        <v>3.5</v>
      </c>
      <c r="E7" s="3">
        <f>SUM($C$3:C6)+C7/2</f>
        <v>4</v>
      </c>
      <c r="F7" s="3">
        <f t="shared" si="0"/>
        <v>4.5</v>
      </c>
      <c r="G7" s="3">
        <v>147.601</v>
      </c>
      <c r="H7" s="9">
        <v>19</v>
      </c>
      <c r="I7" s="9">
        <v>5</v>
      </c>
      <c r="J7" s="12">
        <f t="shared" si="3"/>
        <v>76</v>
      </c>
      <c r="K7" s="12">
        <v>0</v>
      </c>
      <c r="L7" s="12">
        <f t="shared" si="1"/>
        <v>76</v>
      </c>
      <c r="M7" s="13">
        <f t="shared" si="4"/>
        <v>50.666666666666664</v>
      </c>
      <c r="N7" s="14">
        <v>50</v>
      </c>
      <c r="O7" s="14">
        <v>5</v>
      </c>
      <c r="P7" s="14">
        <v>3</v>
      </c>
    </row>
    <row r="8" spans="1:16" ht="18.75" customHeight="1" x14ac:dyDescent="0.25">
      <c r="A8" s="12">
        <v>5</v>
      </c>
      <c r="B8" t="s">
        <v>19</v>
      </c>
      <c r="C8" s="3">
        <v>1.5</v>
      </c>
      <c r="D8" s="3">
        <f t="shared" si="2"/>
        <v>4.5</v>
      </c>
      <c r="E8" s="3">
        <f>SUM($C$3:C7)+C8/2</f>
        <v>5.25</v>
      </c>
      <c r="F8" s="3">
        <f t="shared" si="0"/>
        <v>6</v>
      </c>
      <c r="G8" s="3">
        <v>147.601</v>
      </c>
      <c r="H8" s="9">
        <v>19</v>
      </c>
      <c r="I8" s="9">
        <v>5</v>
      </c>
      <c r="J8" s="13">
        <f t="shared" si="3"/>
        <v>99.75</v>
      </c>
      <c r="K8" s="12">
        <v>0</v>
      </c>
      <c r="L8" s="13">
        <f t="shared" si="1"/>
        <v>99.75</v>
      </c>
      <c r="M8" s="13">
        <f t="shared" si="4"/>
        <v>66.5</v>
      </c>
      <c r="N8" s="14">
        <v>100</v>
      </c>
      <c r="O8" s="14">
        <v>5</v>
      </c>
      <c r="P8" s="14">
        <v>4</v>
      </c>
    </row>
    <row r="9" spans="1:16" ht="18.75" customHeight="1" x14ac:dyDescent="0.25">
      <c r="A9" s="12">
        <v>6</v>
      </c>
      <c r="B9" t="s">
        <v>20</v>
      </c>
      <c r="C9" s="3">
        <v>5.5</v>
      </c>
      <c r="D9" s="9">
        <f t="shared" si="2"/>
        <v>6</v>
      </c>
      <c r="E9" s="3">
        <f>SUM($C$3:C8)+C9/2</f>
        <v>8.75</v>
      </c>
      <c r="F9" s="3">
        <f t="shared" si="0"/>
        <v>11.5</v>
      </c>
      <c r="G9" s="3">
        <v>163.7498181818182</v>
      </c>
      <c r="H9" s="9">
        <v>19</v>
      </c>
      <c r="I9" s="9">
        <v>20</v>
      </c>
      <c r="J9" s="13">
        <f t="shared" si="3"/>
        <v>166.25</v>
      </c>
      <c r="K9" s="13">
        <f t="shared" ref="K9:K31" si="5">(D9-$C$1)*9.81</f>
        <v>14.715</v>
      </c>
      <c r="L9" s="13">
        <f t="shared" si="1"/>
        <v>151.535</v>
      </c>
      <c r="M9" s="13">
        <f t="shared" si="4"/>
        <v>101.02333333333333</v>
      </c>
      <c r="N9" s="14">
        <v>100</v>
      </c>
      <c r="O9" s="14">
        <f t="shared" ref="O9:O31" si="6">I9</f>
        <v>20</v>
      </c>
      <c r="P9" s="14">
        <v>5</v>
      </c>
    </row>
    <row r="10" spans="1:16" ht="18.75" customHeight="1" x14ac:dyDescent="0.25">
      <c r="A10" s="12">
        <v>7</v>
      </c>
      <c r="B10" t="s">
        <v>21</v>
      </c>
      <c r="C10" s="3">
        <v>3.5</v>
      </c>
      <c r="D10" s="3">
        <f t="shared" si="2"/>
        <v>11.5</v>
      </c>
      <c r="E10" s="3">
        <f>SUM($C$3:C9)+C10/2</f>
        <v>13.25</v>
      </c>
      <c r="F10" s="3">
        <f t="shared" si="0"/>
        <v>15</v>
      </c>
      <c r="G10" s="3">
        <v>194.77128571428571</v>
      </c>
      <c r="H10" s="9">
        <v>19</v>
      </c>
      <c r="I10" s="9">
        <v>5</v>
      </c>
      <c r="J10" s="13">
        <f t="shared" si="3"/>
        <v>251.75</v>
      </c>
      <c r="K10" s="13">
        <f t="shared" si="5"/>
        <v>68.67</v>
      </c>
      <c r="L10" s="13">
        <f t="shared" si="1"/>
        <v>183.07999999999998</v>
      </c>
      <c r="M10" s="13">
        <f t="shared" si="4"/>
        <v>122.05333333333331</v>
      </c>
      <c r="N10" s="14">
        <v>100</v>
      </c>
      <c r="O10" s="14">
        <f t="shared" si="6"/>
        <v>5</v>
      </c>
      <c r="P10" s="14">
        <v>4</v>
      </c>
    </row>
    <row r="11" spans="1:16" ht="18.75" customHeight="1" x14ac:dyDescent="0.25">
      <c r="A11" s="12">
        <v>8</v>
      </c>
      <c r="B11" t="s">
        <v>22</v>
      </c>
      <c r="C11" s="3">
        <v>3.5</v>
      </c>
      <c r="D11" s="9">
        <f t="shared" si="2"/>
        <v>15</v>
      </c>
      <c r="E11" s="3">
        <f>SUM($C$3:C10)+C11/2</f>
        <v>16.75</v>
      </c>
      <c r="F11" s="3">
        <f t="shared" si="0"/>
        <v>18.5</v>
      </c>
      <c r="G11" s="3">
        <v>254.20914285714281</v>
      </c>
      <c r="H11" s="9">
        <v>19</v>
      </c>
      <c r="I11" s="9">
        <v>5</v>
      </c>
      <c r="J11" s="13">
        <f t="shared" si="3"/>
        <v>318.25</v>
      </c>
      <c r="K11" s="13">
        <f t="shared" si="5"/>
        <v>103.00500000000001</v>
      </c>
      <c r="L11" s="13">
        <f t="shared" si="1"/>
        <v>215.245</v>
      </c>
      <c r="M11" s="13">
        <f t="shared" si="4"/>
        <v>143.49666666666667</v>
      </c>
      <c r="N11" s="14">
        <v>100</v>
      </c>
      <c r="O11" s="14">
        <f t="shared" si="6"/>
        <v>5</v>
      </c>
      <c r="P11" s="14">
        <v>4</v>
      </c>
    </row>
    <row r="12" spans="1:16" ht="18.75" customHeight="1" x14ac:dyDescent="0.25">
      <c r="A12" s="12">
        <v>9</v>
      </c>
      <c r="B12" t="s">
        <v>23</v>
      </c>
      <c r="C12" s="3">
        <v>2.5</v>
      </c>
      <c r="D12" s="3">
        <f t="shared" si="2"/>
        <v>18.5</v>
      </c>
      <c r="E12" s="3">
        <f>SUM($C$3:C11)+C12/2</f>
        <v>19.75</v>
      </c>
      <c r="F12" s="3">
        <f t="shared" si="0"/>
        <v>21</v>
      </c>
      <c r="G12" s="3">
        <v>253.2722</v>
      </c>
      <c r="H12" s="9">
        <v>19</v>
      </c>
      <c r="I12" s="9">
        <v>20</v>
      </c>
      <c r="J12" s="13">
        <f t="shared" si="3"/>
        <v>375.25</v>
      </c>
      <c r="K12" s="13">
        <f t="shared" si="5"/>
        <v>137.34</v>
      </c>
      <c r="L12" s="13">
        <f t="shared" si="1"/>
        <v>237.91</v>
      </c>
      <c r="M12" s="13">
        <f t="shared" si="4"/>
        <v>158.60666666666665</v>
      </c>
      <c r="N12" s="14">
        <v>200</v>
      </c>
      <c r="O12" s="14">
        <f t="shared" si="6"/>
        <v>20</v>
      </c>
      <c r="P12" s="14">
        <v>6</v>
      </c>
    </row>
    <row r="13" spans="1:16" ht="18.75" customHeight="1" x14ac:dyDescent="0.25">
      <c r="A13" s="12">
        <v>10</v>
      </c>
      <c r="B13" t="s">
        <v>24</v>
      </c>
      <c r="C13" s="9">
        <v>3</v>
      </c>
      <c r="D13" s="9">
        <f t="shared" si="2"/>
        <v>21</v>
      </c>
      <c r="E13" s="3">
        <f>SUM($C$3:C12)+C13/2</f>
        <v>22.5</v>
      </c>
      <c r="F13" s="3">
        <f t="shared" si="0"/>
        <v>24</v>
      </c>
      <c r="G13" s="3">
        <v>280.43566666666669</v>
      </c>
      <c r="H13" s="9">
        <v>19</v>
      </c>
      <c r="I13" s="9">
        <v>5</v>
      </c>
      <c r="J13" s="13">
        <f t="shared" si="3"/>
        <v>427.5</v>
      </c>
      <c r="K13" s="13">
        <f t="shared" si="5"/>
        <v>161.86500000000001</v>
      </c>
      <c r="L13" s="13">
        <f t="shared" si="1"/>
        <v>265.63499999999999</v>
      </c>
      <c r="M13" s="13">
        <f t="shared" si="4"/>
        <v>177.08999999999997</v>
      </c>
      <c r="N13" s="14">
        <v>200</v>
      </c>
      <c r="O13" s="14">
        <f t="shared" si="6"/>
        <v>5</v>
      </c>
      <c r="P13" s="14">
        <v>7</v>
      </c>
    </row>
    <row r="14" spans="1:16" ht="18.75" customHeight="1" x14ac:dyDescent="0.25">
      <c r="A14" s="12">
        <v>11</v>
      </c>
      <c r="B14" t="s">
        <v>25</v>
      </c>
      <c r="C14" s="9">
        <v>6</v>
      </c>
      <c r="D14" s="9">
        <f t="shared" si="2"/>
        <v>24</v>
      </c>
      <c r="E14" s="3">
        <f>SUM($C$3:C13)+C14/2</f>
        <v>27</v>
      </c>
      <c r="F14" s="3">
        <f t="shared" si="0"/>
        <v>30</v>
      </c>
      <c r="G14" s="3">
        <v>256.10758333333342</v>
      </c>
      <c r="H14" s="9">
        <v>19</v>
      </c>
      <c r="I14" s="9">
        <v>5</v>
      </c>
      <c r="J14" s="12">
        <f t="shared" si="3"/>
        <v>513</v>
      </c>
      <c r="K14" s="13">
        <f t="shared" si="5"/>
        <v>191.29500000000002</v>
      </c>
      <c r="L14" s="13">
        <f t="shared" si="1"/>
        <v>321.70499999999998</v>
      </c>
      <c r="M14" s="13">
        <f t="shared" si="4"/>
        <v>214.46999999999997</v>
      </c>
      <c r="N14" s="14">
        <v>200</v>
      </c>
      <c r="O14" s="14">
        <f t="shared" si="6"/>
        <v>5</v>
      </c>
      <c r="P14" s="14">
        <v>7</v>
      </c>
    </row>
    <row r="15" spans="1:16" ht="18.75" customHeight="1" x14ac:dyDescent="0.25">
      <c r="A15" s="12">
        <v>12</v>
      </c>
      <c r="B15" t="s">
        <v>26</v>
      </c>
      <c r="C15" s="9">
        <v>6</v>
      </c>
      <c r="D15" s="9">
        <f t="shared" si="2"/>
        <v>30</v>
      </c>
      <c r="E15" s="3">
        <f>SUM($C$3:C14)+C15/2</f>
        <v>33</v>
      </c>
      <c r="F15" s="3">
        <f t="shared" si="0"/>
        <v>36</v>
      </c>
      <c r="G15" s="3">
        <v>252.1049166666667</v>
      </c>
      <c r="H15" s="9">
        <v>19</v>
      </c>
      <c r="I15" s="9">
        <v>5</v>
      </c>
      <c r="J15" s="12">
        <f t="shared" si="3"/>
        <v>627</v>
      </c>
      <c r="K15" s="13">
        <f t="shared" si="5"/>
        <v>250.155</v>
      </c>
      <c r="L15" s="13">
        <f t="shared" si="1"/>
        <v>376.84500000000003</v>
      </c>
      <c r="M15" s="13">
        <f t="shared" si="4"/>
        <v>251.23000000000002</v>
      </c>
      <c r="N15" s="14">
        <v>200</v>
      </c>
      <c r="O15" s="14">
        <f t="shared" si="6"/>
        <v>5</v>
      </c>
      <c r="P15" s="14">
        <v>7</v>
      </c>
    </row>
    <row r="16" spans="1:16" ht="18.75" customHeight="1" x14ac:dyDescent="0.25">
      <c r="A16" s="12">
        <v>13</v>
      </c>
      <c r="B16" t="s">
        <v>27</v>
      </c>
      <c r="C16" s="9">
        <v>12</v>
      </c>
      <c r="D16" s="9">
        <f t="shared" si="2"/>
        <v>36</v>
      </c>
      <c r="E16" s="3">
        <f>SUM($C$3:C15)+C16/2</f>
        <v>42</v>
      </c>
      <c r="F16" s="3">
        <f t="shared" si="0"/>
        <v>48</v>
      </c>
      <c r="G16" s="3">
        <v>229.08674999999999</v>
      </c>
      <c r="H16" s="9">
        <v>19</v>
      </c>
      <c r="I16" s="9">
        <v>20</v>
      </c>
      <c r="J16" s="12">
        <f t="shared" si="3"/>
        <v>798</v>
      </c>
      <c r="K16" s="13">
        <f t="shared" si="5"/>
        <v>309.01500000000004</v>
      </c>
      <c r="L16" s="13">
        <f t="shared" si="1"/>
        <v>488.98499999999996</v>
      </c>
      <c r="M16" s="13">
        <f t="shared" si="4"/>
        <v>325.98999999999995</v>
      </c>
      <c r="N16" s="14">
        <v>400</v>
      </c>
      <c r="O16" s="14">
        <f t="shared" si="6"/>
        <v>20</v>
      </c>
      <c r="P16" s="14">
        <v>8</v>
      </c>
    </row>
    <row r="17" spans="1:16" ht="18.75" customHeight="1" x14ac:dyDescent="0.25">
      <c r="A17" s="12">
        <v>14</v>
      </c>
      <c r="B17" t="s">
        <v>28</v>
      </c>
      <c r="C17" s="3">
        <v>12.5</v>
      </c>
      <c r="D17" s="9">
        <f t="shared" si="2"/>
        <v>48</v>
      </c>
      <c r="E17" s="3">
        <f>SUM($C$3:C16)+C17/2</f>
        <v>54.25</v>
      </c>
      <c r="F17" s="3">
        <f t="shared" si="0"/>
        <v>60.5</v>
      </c>
      <c r="G17" s="3">
        <v>284.23284000000001</v>
      </c>
      <c r="H17" s="9">
        <v>19</v>
      </c>
      <c r="I17" s="9">
        <v>5</v>
      </c>
      <c r="J17" s="13">
        <f t="shared" si="3"/>
        <v>1030.75</v>
      </c>
      <c r="K17" s="13">
        <f t="shared" si="5"/>
        <v>426.73500000000001</v>
      </c>
      <c r="L17" s="13">
        <f t="shared" si="1"/>
        <v>604.01499999999999</v>
      </c>
      <c r="M17" s="13">
        <f t="shared" si="4"/>
        <v>402.67666666666662</v>
      </c>
      <c r="N17" s="14">
        <v>400</v>
      </c>
      <c r="O17" s="14">
        <f t="shared" si="6"/>
        <v>5</v>
      </c>
      <c r="P17" s="14">
        <v>9</v>
      </c>
    </row>
    <row r="18" spans="1:16" ht="18.75" customHeight="1" x14ac:dyDescent="0.25">
      <c r="A18" s="12">
        <v>15</v>
      </c>
      <c r="B18" t="s">
        <v>29</v>
      </c>
      <c r="C18" s="9">
        <v>10</v>
      </c>
      <c r="D18" s="3">
        <f t="shared" si="2"/>
        <v>60.5</v>
      </c>
      <c r="E18" s="3">
        <f>SUM($C$3:C17)+C18/2</f>
        <v>65.5</v>
      </c>
      <c r="F18" s="3">
        <f t="shared" si="0"/>
        <v>70.5</v>
      </c>
      <c r="G18" s="3">
        <v>336.60216666666668</v>
      </c>
      <c r="H18" s="9">
        <v>19</v>
      </c>
      <c r="I18" s="9">
        <v>20</v>
      </c>
      <c r="J18" s="13">
        <f t="shared" si="3"/>
        <v>1244.5</v>
      </c>
      <c r="K18" s="13">
        <f t="shared" si="5"/>
        <v>549.36</v>
      </c>
      <c r="L18" s="13">
        <f t="shared" si="1"/>
        <v>695.14</v>
      </c>
      <c r="M18" s="13">
        <f t="shared" si="4"/>
        <v>463.42666666666662</v>
      </c>
      <c r="N18" s="14">
        <v>400</v>
      </c>
      <c r="O18" s="14">
        <f t="shared" si="6"/>
        <v>20</v>
      </c>
      <c r="P18" s="14">
        <v>8</v>
      </c>
    </row>
    <row r="19" spans="1:16" ht="18.75" customHeight="1" x14ac:dyDescent="0.25">
      <c r="A19" s="12">
        <v>16</v>
      </c>
      <c r="B19" t="s">
        <v>30</v>
      </c>
      <c r="C19" s="9">
        <v>10</v>
      </c>
      <c r="D19" s="3">
        <f t="shared" si="2"/>
        <v>70.5</v>
      </c>
      <c r="E19" s="3">
        <f>SUM($C$3:C18)+C19/2</f>
        <v>75.5</v>
      </c>
      <c r="F19" s="3">
        <f t="shared" si="0"/>
        <v>80.5</v>
      </c>
      <c r="G19" s="3">
        <v>345.52519999999998</v>
      </c>
      <c r="H19" s="9">
        <v>19</v>
      </c>
      <c r="I19" s="9">
        <v>20</v>
      </c>
      <c r="J19" s="13">
        <f t="shared" si="3"/>
        <v>1434.5</v>
      </c>
      <c r="K19" s="13">
        <f t="shared" si="5"/>
        <v>647.46</v>
      </c>
      <c r="L19" s="13">
        <f t="shared" si="1"/>
        <v>787.04</v>
      </c>
      <c r="M19" s="13">
        <f t="shared" si="4"/>
        <v>524.69333333333327</v>
      </c>
      <c r="N19" s="14">
        <v>400</v>
      </c>
      <c r="O19" s="14">
        <f t="shared" si="6"/>
        <v>20</v>
      </c>
      <c r="P19" s="14">
        <v>8</v>
      </c>
    </row>
    <row r="20" spans="1:16" ht="18.75" customHeight="1" x14ac:dyDescent="0.25">
      <c r="A20" s="12">
        <v>17</v>
      </c>
      <c r="B20" t="s">
        <v>31</v>
      </c>
      <c r="C20" s="9">
        <v>10</v>
      </c>
      <c r="D20" s="3">
        <f t="shared" si="2"/>
        <v>80.5</v>
      </c>
      <c r="E20" s="3">
        <f>SUM($C$3:C19)+C20/2</f>
        <v>85.5</v>
      </c>
      <c r="F20" s="3">
        <f t="shared" si="0"/>
        <v>90.5</v>
      </c>
      <c r="G20" s="3">
        <v>330.69930000000011</v>
      </c>
      <c r="H20" s="9">
        <v>19</v>
      </c>
      <c r="I20" s="9">
        <v>20</v>
      </c>
      <c r="J20" s="13">
        <f t="shared" si="3"/>
        <v>1624.5</v>
      </c>
      <c r="K20" s="13">
        <f t="shared" si="5"/>
        <v>745.56000000000006</v>
      </c>
      <c r="L20" s="13">
        <f t="shared" si="1"/>
        <v>878.93999999999994</v>
      </c>
      <c r="M20" s="13">
        <f t="shared" si="4"/>
        <v>585.95999999999992</v>
      </c>
      <c r="N20" s="14">
        <v>400</v>
      </c>
      <c r="O20" s="14">
        <f t="shared" si="6"/>
        <v>20</v>
      </c>
      <c r="P20" s="14">
        <v>8</v>
      </c>
    </row>
    <row r="21" spans="1:16" ht="18.75" customHeight="1" x14ac:dyDescent="0.25">
      <c r="A21" s="12">
        <v>18</v>
      </c>
      <c r="B21" t="s">
        <v>32</v>
      </c>
      <c r="C21" s="9">
        <v>10</v>
      </c>
      <c r="D21" s="3">
        <f t="shared" si="2"/>
        <v>90.5</v>
      </c>
      <c r="E21" s="3">
        <f>SUM($C$3:C20)+C21/2</f>
        <v>95.5</v>
      </c>
      <c r="F21" s="3">
        <f t="shared" si="0"/>
        <v>100.5</v>
      </c>
      <c r="G21" s="3">
        <v>401.21390000000002</v>
      </c>
      <c r="H21" s="9">
        <v>19</v>
      </c>
      <c r="I21" s="9">
        <v>20</v>
      </c>
      <c r="J21" s="13">
        <f t="shared" si="3"/>
        <v>1814.5</v>
      </c>
      <c r="K21" s="13">
        <f t="shared" si="5"/>
        <v>843.66000000000008</v>
      </c>
      <c r="L21" s="13">
        <f t="shared" si="1"/>
        <v>970.83999999999992</v>
      </c>
      <c r="M21" s="13">
        <f t="shared" si="4"/>
        <v>647.22666666666657</v>
      </c>
      <c r="N21" s="14">
        <v>800</v>
      </c>
      <c r="O21" s="14">
        <f t="shared" si="6"/>
        <v>20</v>
      </c>
      <c r="P21" s="14">
        <v>10</v>
      </c>
    </row>
    <row r="22" spans="1:16" ht="18.75" customHeight="1" x14ac:dyDescent="0.25">
      <c r="A22" s="12">
        <v>19</v>
      </c>
      <c r="B22" t="s">
        <v>33</v>
      </c>
      <c r="C22" s="9">
        <v>10</v>
      </c>
      <c r="D22" s="3">
        <f t="shared" si="2"/>
        <v>100.5</v>
      </c>
      <c r="E22" s="3">
        <f>SUM($C$3:C21)+C22/2</f>
        <v>105.5</v>
      </c>
      <c r="F22" s="3">
        <f t="shared" si="0"/>
        <v>110.5</v>
      </c>
      <c r="G22" s="3">
        <v>416.64722222222218</v>
      </c>
      <c r="H22" s="9">
        <v>19</v>
      </c>
      <c r="I22" s="9">
        <v>20</v>
      </c>
      <c r="J22" s="13">
        <f t="shared" si="3"/>
        <v>2004.5</v>
      </c>
      <c r="K22" s="13">
        <f t="shared" si="5"/>
        <v>941.76</v>
      </c>
      <c r="L22" s="13">
        <f t="shared" si="1"/>
        <v>1062.74</v>
      </c>
      <c r="M22" s="13">
        <f t="shared" si="4"/>
        <v>708.49333333333334</v>
      </c>
      <c r="N22" s="14">
        <v>800</v>
      </c>
      <c r="O22" s="14">
        <f t="shared" si="6"/>
        <v>20</v>
      </c>
      <c r="P22" s="14">
        <v>10</v>
      </c>
    </row>
    <row r="23" spans="1:16" ht="18.75" customHeight="1" x14ac:dyDescent="0.25">
      <c r="A23" s="12">
        <v>20</v>
      </c>
      <c r="B23" t="s">
        <v>34</v>
      </c>
      <c r="C23" s="9">
        <v>10</v>
      </c>
      <c r="D23" s="3">
        <f t="shared" si="2"/>
        <v>110.5</v>
      </c>
      <c r="E23" s="3">
        <f>SUM($C$3:C22)+C23/2</f>
        <v>115.5</v>
      </c>
      <c r="F23" s="3">
        <f t="shared" si="0"/>
        <v>120.5</v>
      </c>
      <c r="G23" s="3">
        <v>390.74349999999998</v>
      </c>
      <c r="H23" s="9">
        <v>19</v>
      </c>
      <c r="I23" s="9">
        <v>20</v>
      </c>
      <c r="J23" s="13">
        <f t="shared" si="3"/>
        <v>2194.5</v>
      </c>
      <c r="K23" s="13">
        <f t="shared" si="5"/>
        <v>1039.8600000000001</v>
      </c>
      <c r="L23" s="13">
        <f t="shared" si="1"/>
        <v>1154.6399999999999</v>
      </c>
      <c r="M23" s="13">
        <f t="shared" si="4"/>
        <v>769.75999999999988</v>
      </c>
      <c r="N23" s="14">
        <v>800</v>
      </c>
      <c r="O23" s="14">
        <f t="shared" si="6"/>
        <v>20</v>
      </c>
      <c r="P23" s="14">
        <v>10</v>
      </c>
    </row>
    <row r="24" spans="1:16" ht="18.75" customHeight="1" x14ac:dyDescent="0.25">
      <c r="A24" s="12">
        <v>21</v>
      </c>
      <c r="B24" t="s">
        <v>35</v>
      </c>
      <c r="C24" s="9">
        <v>10</v>
      </c>
      <c r="D24" s="3">
        <f t="shared" si="2"/>
        <v>120.5</v>
      </c>
      <c r="E24" s="3">
        <f>SUM($C$3:C23)+C24/2</f>
        <v>125.5</v>
      </c>
      <c r="F24" s="3">
        <f t="shared" si="0"/>
        <v>130.5</v>
      </c>
      <c r="G24" s="3">
        <v>447.57044444444438</v>
      </c>
      <c r="H24" s="9">
        <v>19</v>
      </c>
      <c r="I24" s="9">
        <v>20</v>
      </c>
      <c r="J24" s="13">
        <f t="shared" si="3"/>
        <v>2384.5</v>
      </c>
      <c r="K24" s="13">
        <f t="shared" si="5"/>
        <v>1137.96</v>
      </c>
      <c r="L24" s="13">
        <f t="shared" si="1"/>
        <v>1246.54</v>
      </c>
      <c r="M24" s="13">
        <f t="shared" si="4"/>
        <v>831.02666666666664</v>
      </c>
      <c r="N24" s="14">
        <v>800</v>
      </c>
      <c r="O24" s="14">
        <f t="shared" si="6"/>
        <v>20</v>
      </c>
      <c r="P24" s="14">
        <v>10</v>
      </c>
    </row>
    <row r="25" spans="1:16" ht="18.75" customHeight="1" x14ac:dyDescent="0.25">
      <c r="A25" s="12">
        <v>22</v>
      </c>
      <c r="B25" t="s">
        <v>36</v>
      </c>
      <c r="C25" s="9">
        <v>10</v>
      </c>
      <c r="D25" s="3">
        <f t="shared" si="2"/>
        <v>130.5</v>
      </c>
      <c r="E25" s="3">
        <f>SUM($C$3:C24)+C25/2</f>
        <v>135.5</v>
      </c>
      <c r="F25" s="3">
        <f t="shared" si="0"/>
        <v>140.5</v>
      </c>
      <c r="G25" s="3">
        <v>408.6927</v>
      </c>
      <c r="H25" s="9">
        <v>19</v>
      </c>
      <c r="I25" s="9">
        <v>20</v>
      </c>
      <c r="J25" s="13">
        <f t="shared" si="3"/>
        <v>2574.5</v>
      </c>
      <c r="K25" s="13">
        <f t="shared" si="5"/>
        <v>1236.0600000000002</v>
      </c>
      <c r="L25" s="13">
        <f t="shared" si="1"/>
        <v>1338.4399999999998</v>
      </c>
      <c r="M25" s="13">
        <f t="shared" si="4"/>
        <v>892.29333333333318</v>
      </c>
      <c r="N25" s="14">
        <v>800</v>
      </c>
      <c r="O25" s="14">
        <f t="shared" si="6"/>
        <v>20</v>
      </c>
      <c r="P25" s="14">
        <v>10</v>
      </c>
    </row>
    <row r="26" spans="1:16" ht="18.75" customHeight="1" x14ac:dyDescent="0.25">
      <c r="A26" s="12">
        <v>23</v>
      </c>
      <c r="B26" t="s">
        <v>37</v>
      </c>
      <c r="C26" s="9">
        <v>10</v>
      </c>
      <c r="D26" s="3">
        <f t="shared" si="2"/>
        <v>140.5</v>
      </c>
      <c r="E26" s="3">
        <f>SUM($C$3:C25)+C26/2</f>
        <v>145.5</v>
      </c>
      <c r="F26" s="3">
        <f t="shared" si="0"/>
        <v>150.5</v>
      </c>
      <c r="G26" s="3">
        <v>392.07549999999998</v>
      </c>
      <c r="H26" s="9">
        <v>19</v>
      </c>
      <c r="I26" s="9">
        <v>20</v>
      </c>
      <c r="J26" s="13">
        <f t="shared" si="3"/>
        <v>2764.5</v>
      </c>
      <c r="K26" s="13">
        <f t="shared" si="5"/>
        <v>1334.16</v>
      </c>
      <c r="L26" s="13">
        <f t="shared" si="1"/>
        <v>1430.34</v>
      </c>
      <c r="M26" s="13">
        <f t="shared" si="4"/>
        <v>953.56</v>
      </c>
      <c r="N26" s="14">
        <v>800</v>
      </c>
      <c r="O26" s="14">
        <f t="shared" si="6"/>
        <v>20</v>
      </c>
      <c r="P26" s="14">
        <v>10</v>
      </c>
    </row>
    <row r="27" spans="1:16" ht="18.75" customHeight="1" x14ac:dyDescent="0.25">
      <c r="A27" s="12">
        <v>24</v>
      </c>
      <c r="B27" t="s">
        <v>38</v>
      </c>
      <c r="C27" s="9">
        <v>10</v>
      </c>
      <c r="D27" s="3">
        <f t="shared" si="2"/>
        <v>150.5</v>
      </c>
      <c r="E27" s="3">
        <f>SUM($C$3:C26)+C27/2</f>
        <v>155.5</v>
      </c>
      <c r="F27" s="3">
        <f t="shared" si="0"/>
        <v>160.5</v>
      </c>
      <c r="G27" s="3">
        <v>543.87430000000006</v>
      </c>
      <c r="H27" s="9">
        <v>19</v>
      </c>
      <c r="I27" s="9">
        <v>20</v>
      </c>
      <c r="J27" s="13">
        <f t="shared" si="3"/>
        <v>2954.5</v>
      </c>
      <c r="K27" s="13">
        <f t="shared" si="5"/>
        <v>1432.26</v>
      </c>
      <c r="L27" s="13">
        <f t="shared" si="1"/>
        <v>1522.24</v>
      </c>
      <c r="M27" s="13">
        <f t="shared" si="4"/>
        <v>1014.8266666666666</v>
      </c>
      <c r="N27" s="14">
        <v>1000</v>
      </c>
      <c r="O27" s="14">
        <f t="shared" si="6"/>
        <v>20</v>
      </c>
      <c r="P27" s="14">
        <v>11</v>
      </c>
    </row>
    <row r="28" spans="1:16" ht="18.75" customHeight="1" x14ac:dyDescent="0.25">
      <c r="A28" s="12">
        <v>25</v>
      </c>
      <c r="B28" t="s">
        <v>39</v>
      </c>
      <c r="C28" s="9">
        <v>10</v>
      </c>
      <c r="D28" s="3">
        <f t="shared" si="2"/>
        <v>160.5</v>
      </c>
      <c r="E28" s="3">
        <f>SUM($C$3:C27)+C28/2</f>
        <v>165.5</v>
      </c>
      <c r="F28" s="3">
        <f t="shared" si="0"/>
        <v>170.5</v>
      </c>
      <c r="G28" s="3">
        <v>481.63619999999997</v>
      </c>
      <c r="H28" s="9">
        <v>19</v>
      </c>
      <c r="I28" s="9">
        <v>20</v>
      </c>
      <c r="J28" s="13">
        <f t="shared" si="3"/>
        <v>3144.5</v>
      </c>
      <c r="K28" s="13">
        <f t="shared" si="5"/>
        <v>1530.3600000000001</v>
      </c>
      <c r="L28" s="13">
        <f t="shared" si="1"/>
        <v>1614.1399999999999</v>
      </c>
      <c r="M28" s="13">
        <f t="shared" si="4"/>
        <v>1076.0933333333332</v>
      </c>
      <c r="N28" s="14">
        <v>1000</v>
      </c>
      <c r="O28" s="14">
        <f t="shared" si="6"/>
        <v>20</v>
      </c>
      <c r="P28" s="14">
        <v>11</v>
      </c>
    </row>
    <row r="29" spans="1:16" ht="18.75" customHeight="1" x14ac:dyDescent="0.25">
      <c r="A29" s="12">
        <v>26</v>
      </c>
      <c r="B29" t="s">
        <v>40</v>
      </c>
      <c r="C29" s="9">
        <v>10</v>
      </c>
      <c r="D29" s="3">
        <f t="shared" si="2"/>
        <v>170.5</v>
      </c>
      <c r="E29" s="3">
        <f>SUM($C$3:C28)+C29/2</f>
        <v>175.5</v>
      </c>
      <c r="F29" s="3">
        <f t="shared" si="0"/>
        <v>180.5</v>
      </c>
      <c r="G29" s="3">
        <v>535.28859999999997</v>
      </c>
      <c r="H29" s="9">
        <v>19</v>
      </c>
      <c r="I29" s="9">
        <v>20</v>
      </c>
      <c r="J29" s="13">
        <f t="shared" si="3"/>
        <v>3334.5</v>
      </c>
      <c r="K29" s="13">
        <f t="shared" si="5"/>
        <v>1628.46</v>
      </c>
      <c r="L29" s="13">
        <f t="shared" si="1"/>
        <v>1706.04</v>
      </c>
      <c r="M29" s="13">
        <f t="shared" si="4"/>
        <v>1137.3599999999999</v>
      </c>
      <c r="N29" s="14">
        <v>1000</v>
      </c>
      <c r="O29" s="14">
        <f t="shared" si="6"/>
        <v>20</v>
      </c>
      <c r="P29" s="14">
        <v>11</v>
      </c>
    </row>
    <row r="30" spans="1:16" ht="18.75" customHeight="1" x14ac:dyDescent="0.25">
      <c r="A30" s="12">
        <v>27</v>
      </c>
      <c r="B30" t="s">
        <v>41</v>
      </c>
      <c r="C30" s="9">
        <v>10</v>
      </c>
      <c r="D30" s="3">
        <f t="shared" si="2"/>
        <v>180.5</v>
      </c>
      <c r="E30" s="3">
        <f>SUM($C$3:C29)+C30/2</f>
        <v>185.5</v>
      </c>
      <c r="F30" s="3">
        <f t="shared" si="0"/>
        <v>190.5</v>
      </c>
      <c r="G30" s="3">
        <v>572.80110000000002</v>
      </c>
      <c r="H30" s="9">
        <v>19</v>
      </c>
      <c r="I30" s="9">
        <v>20</v>
      </c>
      <c r="J30" s="13">
        <f t="shared" si="3"/>
        <v>3524.5</v>
      </c>
      <c r="K30" s="13">
        <f t="shared" si="5"/>
        <v>1726.5600000000002</v>
      </c>
      <c r="L30" s="13">
        <f t="shared" si="1"/>
        <v>1797.9399999999998</v>
      </c>
      <c r="M30" s="13">
        <f t="shared" si="4"/>
        <v>1198.6266666666666</v>
      </c>
      <c r="N30" s="14">
        <v>1000</v>
      </c>
      <c r="O30" s="14">
        <f t="shared" si="6"/>
        <v>20</v>
      </c>
      <c r="P30" s="14">
        <v>11</v>
      </c>
    </row>
    <row r="31" spans="1:16" ht="18.75" customHeight="1" x14ac:dyDescent="0.25">
      <c r="A31" s="12">
        <v>28</v>
      </c>
      <c r="B31" t="s">
        <v>42</v>
      </c>
      <c r="C31" s="3">
        <v>4.5</v>
      </c>
      <c r="D31" s="3">
        <f t="shared" si="2"/>
        <v>190.5</v>
      </c>
      <c r="E31" s="3">
        <f>SUM($C$3:C30)+C31/2</f>
        <v>192.75</v>
      </c>
      <c r="F31" s="3">
        <f t="shared" si="0"/>
        <v>195</v>
      </c>
      <c r="G31" s="3">
        <v>479.34545454545457</v>
      </c>
      <c r="H31" s="9">
        <v>19</v>
      </c>
      <c r="I31" s="9">
        <v>20</v>
      </c>
      <c r="J31" s="13">
        <f t="shared" si="3"/>
        <v>3662.25</v>
      </c>
      <c r="K31" s="13">
        <f t="shared" si="5"/>
        <v>1824.66</v>
      </c>
      <c r="L31" s="13">
        <f t="shared" si="1"/>
        <v>1837.59</v>
      </c>
      <c r="M31" s="13">
        <f t="shared" si="4"/>
        <v>1225.06</v>
      </c>
      <c r="N31" s="14">
        <v>1000</v>
      </c>
      <c r="O31" s="14">
        <f t="shared" si="6"/>
        <v>20</v>
      </c>
      <c r="P31" s="14">
        <v>11</v>
      </c>
    </row>
    <row r="32" spans="1:16" ht="18.75" customHeight="1" x14ac:dyDescent="0.25">
      <c r="C32" s="3"/>
      <c r="D32" s="3"/>
      <c r="E32" s="3"/>
      <c r="F32" s="3"/>
      <c r="H32" s="9"/>
    </row>
    <row r="33" spans="2:9" ht="18.75" customHeight="1" x14ac:dyDescent="0.25">
      <c r="C33" s="3"/>
      <c r="D33" s="3"/>
      <c r="E33" s="3"/>
      <c r="F33" s="3"/>
      <c r="H33" s="9"/>
    </row>
    <row r="34" spans="2:9" ht="18.75" customHeight="1" x14ac:dyDescent="0.25">
      <c r="C34" s="3"/>
      <c r="D34" s="3"/>
      <c r="E34" s="3"/>
      <c r="F34" s="3"/>
      <c r="H34" s="9"/>
    </row>
    <row r="35" spans="2:9" ht="18.75" customHeight="1" x14ac:dyDescent="0.25">
      <c r="C35" s="3"/>
      <c r="D35" s="3"/>
      <c r="E35" s="3"/>
      <c r="F35" s="3"/>
      <c r="H35" s="9"/>
      <c r="I35" s="9"/>
    </row>
    <row r="36" spans="2:9" ht="18.75" customHeight="1" x14ac:dyDescent="0.25">
      <c r="B36" s="15"/>
      <c r="C36" s="3"/>
      <c r="D36" s="3"/>
      <c r="E36" s="3"/>
      <c r="F36" s="3"/>
      <c r="H36" s="9"/>
    </row>
    <row r="37" spans="2:9" ht="18.75" customHeight="1" x14ac:dyDescent="0.25">
      <c r="B37" s="15"/>
      <c r="C37" s="3"/>
      <c r="D37" s="3"/>
      <c r="E37" s="3"/>
      <c r="F37" s="3"/>
      <c r="H37" s="9"/>
    </row>
    <row r="38" spans="2:9" ht="18.75" customHeight="1" x14ac:dyDescent="0.25">
      <c r="B38" s="15"/>
      <c r="C38" s="3"/>
      <c r="D38" s="3"/>
      <c r="E38" s="3"/>
      <c r="F38" s="3"/>
      <c r="H38" s="9"/>
    </row>
    <row r="39" spans="2:9" ht="18.75" customHeight="1" x14ac:dyDescent="0.25">
      <c r="B39" s="15"/>
      <c r="C39" s="3"/>
      <c r="D39" s="3"/>
      <c r="E39" s="3"/>
      <c r="F39" s="3"/>
      <c r="H39" s="9"/>
    </row>
    <row r="40" spans="2:9" ht="18.75" customHeight="1" x14ac:dyDescent="0.25">
      <c r="B40" s="15"/>
      <c r="C40" s="3"/>
      <c r="D40" s="3"/>
      <c r="E40" s="3"/>
      <c r="F40" s="3"/>
      <c r="H40" s="9"/>
    </row>
    <row r="41" spans="2:9" ht="18.75" customHeight="1" x14ac:dyDescent="0.25">
      <c r="B41" s="15"/>
      <c r="C41" s="3"/>
      <c r="D41" s="3"/>
      <c r="E41" s="3"/>
      <c r="F41" s="3"/>
      <c r="H41" s="9"/>
    </row>
    <row r="42" spans="2:9" ht="18.75" customHeight="1" x14ac:dyDescent="0.25">
      <c r="B42" s="15"/>
      <c r="C42" s="3"/>
      <c r="D42" s="3"/>
      <c r="E42" s="3"/>
      <c r="F42" s="3"/>
      <c r="H42" s="9"/>
    </row>
    <row r="43" spans="2:9" ht="18.75" customHeight="1" x14ac:dyDescent="0.25">
      <c r="B43" s="15"/>
      <c r="C43" s="3"/>
      <c r="D43" s="3"/>
      <c r="E43" s="3"/>
      <c r="F43" s="3"/>
      <c r="H43" s="9"/>
      <c r="I43" s="9"/>
    </row>
    <row r="44" spans="2:9" ht="18.75" customHeight="1" x14ac:dyDescent="0.25">
      <c r="B44" s="15"/>
      <c r="C44" s="3"/>
      <c r="D44" s="3"/>
      <c r="E44" s="3"/>
      <c r="F44" s="3"/>
      <c r="H44" s="9"/>
      <c r="I44" s="9"/>
    </row>
    <row r="45" spans="2:9" ht="18.75" customHeight="1" x14ac:dyDescent="0.25">
      <c r="B45" s="15"/>
      <c r="C45" s="3"/>
      <c r="D45" s="3"/>
      <c r="E45" s="3"/>
      <c r="F45" s="3"/>
      <c r="H45" s="9"/>
      <c r="I45" s="9"/>
    </row>
    <row r="46" spans="2:9" ht="18.75" customHeight="1" x14ac:dyDescent="0.25">
      <c r="B46" s="15"/>
      <c r="C46" s="3"/>
      <c r="D46" s="3"/>
      <c r="E46" s="3"/>
      <c r="F46" s="3"/>
      <c r="H46" s="9"/>
      <c r="I46" s="9"/>
    </row>
    <row r="47" spans="2:9" ht="18.75" customHeight="1" x14ac:dyDescent="0.25">
      <c r="B47" s="15"/>
      <c r="C47" s="3"/>
      <c r="D47" s="3"/>
      <c r="E47" s="3"/>
      <c r="F47" s="3"/>
      <c r="H47" s="9"/>
      <c r="I47" s="9"/>
    </row>
    <row r="48" spans="2:9" ht="18.75" customHeight="1" x14ac:dyDescent="0.25">
      <c r="B48" s="15"/>
      <c r="C48" s="3"/>
      <c r="D48" s="3"/>
      <c r="E48" s="3"/>
      <c r="F48" s="3"/>
      <c r="H48" s="9"/>
      <c r="I48" s="9"/>
    </row>
    <row r="49" spans="2:9" ht="18.75" customHeight="1" x14ac:dyDescent="0.25">
      <c r="B49" s="15"/>
      <c r="C49" s="3"/>
      <c r="D49" s="3"/>
      <c r="E49" s="3"/>
      <c r="F49" s="3"/>
      <c r="H49" s="9"/>
      <c r="I49" s="9"/>
    </row>
    <row r="50" spans="2:9" ht="18.75" customHeight="1" x14ac:dyDescent="0.25">
      <c r="B50" s="15"/>
      <c r="C50" s="3"/>
      <c r="D50" s="3"/>
      <c r="E50" s="3"/>
      <c r="F50" s="3"/>
      <c r="H50" s="9"/>
      <c r="I50" s="9"/>
    </row>
    <row r="51" spans="2:9" ht="18.75" customHeight="1" x14ac:dyDescent="0.25">
      <c r="B51" s="15"/>
      <c r="C51" s="3"/>
      <c r="D51" s="3"/>
      <c r="E51" s="3"/>
      <c r="F51" s="3"/>
      <c r="H51" s="9"/>
      <c r="I51" s="9"/>
    </row>
    <row r="52" spans="2:9" ht="18.75" customHeight="1" x14ac:dyDescent="0.25">
      <c r="B52" s="15"/>
      <c r="C52" s="3"/>
      <c r="D52" s="3"/>
      <c r="E52" s="3"/>
      <c r="F52" s="3"/>
      <c r="H52" s="9"/>
      <c r="I52" s="9"/>
    </row>
    <row r="53" spans="2:9" ht="18.75" customHeight="1" x14ac:dyDescent="0.25">
      <c r="B53" s="15"/>
      <c r="C53" s="3"/>
      <c r="D53" s="3"/>
      <c r="E53" s="3"/>
      <c r="F53" s="3"/>
      <c r="H53" s="9"/>
      <c r="I53" s="9"/>
    </row>
    <row r="54" spans="2:9" ht="18.75" customHeight="1" x14ac:dyDescent="0.25">
      <c r="B54" s="15"/>
      <c r="C54" s="3"/>
      <c r="D54" s="3"/>
      <c r="E54" s="3"/>
      <c r="F54" s="3"/>
      <c r="H54" s="9"/>
      <c r="I54" s="9"/>
    </row>
    <row r="55" spans="2:9" ht="18.75" customHeight="1" x14ac:dyDescent="0.25">
      <c r="B55" s="15"/>
      <c r="C55" s="3"/>
      <c r="D55" s="3"/>
      <c r="E55" s="3"/>
      <c r="F55" s="3"/>
      <c r="H55" s="9"/>
      <c r="I55" s="9"/>
    </row>
    <row r="56" spans="2:9" ht="18.75" customHeight="1" x14ac:dyDescent="0.25">
      <c r="B56" s="15"/>
      <c r="C56" s="3"/>
      <c r="D56" s="3"/>
      <c r="E56" s="3"/>
      <c r="F56" s="3"/>
      <c r="H56" s="9"/>
      <c r="I56" s="9"/>
    </row>
    <row r="57" spans="2:9" ht="18.75" customHeight="1" x14ac:dyDescent="0.25">
      <c r="B57" s="15"/>
      <c r="C57" s="3"/>
      <c r="D57" s="3"/>
      <c r="E57" s="3"/>
      <c r="F57" s="3"/>
      <c r="H57" s="9"/>
      <c r="I57" s="9"/>
    </row>
    <row r="58" spans="2:9" ht="18.75" customHeight="1" x14ac:dyDescent="0.25">
      <c r="B58" s="15"/>
      <c r="C58" s="3"/>
      <c r="D58" s="3"/>
      <c r="E58" s="3"/>
      <c r="F58" s="3"/>
      <c r="H58" s="9"/>
      <c r="I58" s="9"/>
    </row>
    <row r="59" spans="2:9" ht="18.75" customHeight="1" x14ac:dyDescent="0.25">
      <c r="B59" s="15"/>
      <c r="C59" s="3"/>
      <c r="D59" s="3"/>
      <c r="E59" s="3"/>
      <c r="F59" s="3"/>
      <c r="H59" s="9"/>
      <c r="I59" s="9"/>
    </row>
    <row r="60" spans="2:9" ht="18.75" customHeight="1" x14ac:dyDescent="0.25">
      <c r="B60" s="15"/>
      <c r="C60" s="3"/>
      <c r="D60" s="3"/>
      <c r="E60" s="3"/>
      <c r="F60" s="3"/>
      <c r="H60" s="9"/>
      <c r="I60" s="9"/>
    </row>
    <row r="61" spans="2:9" ht="18.75" customHeight="1" x14ac:dyDescent="0.25">
      <c r="B61" s="15"/>
      <c r="C61" s="3"/>
      <c r="D61" s="3"/>
      <c r="E61" s="3"/>
      <c r="F61" s="3"/>
      <c r="H61" s="9"/>
      <c r="I61" s="9"/>
    </row>
    <row r="62" spans="2:9" ht="18.75" customHeight="1" x14ac:dyDescent="0.25">
      <c r="B62" s="15"/>
      <c r="C62" s="3"/>
      <c r="D62" s="3"/>
      <c r="E62" s="3"/>
      <c r="F62" s="3"/>
      <c r="H62" s="9"/>
      <c r="I62" s="9"/>
    </row>
    <row r="63" spans="2:9" ht="18.75" customHeight="1" x14ac:dyDescent="0.25">
      <c r="B63" s="15"/>
      <c r="C63" s="3"/>
      <c r="D63" s="3"/>
      <c r="E63" s="3"/>
      <c r="F63" s="3"/>
      <c r="H63" s="9"/>
      <c r="I63" s="9"/>
    </row>
    <row r="64" spans="2:9" ht="18.75" customHeight="1" x14ac:dyDescent="0.25">
      <c r="B64" s="15"/>
      <c r="C64" s="3"/>
      <c r="D64" s="3"/>
      <c r="E64" s="3"/>
      <c r="F64" s="3"/>
      <c r="H64" s="9"/>
      <c r="I64" s="9"/>
    </row>
    <row r="65" spans="2:9" ht="18.75" customHeight="1" x14ac:dyDescent="0.25">
      <c r="B65" s="15"/>
      <c r="C65" s="3"/>
      <c r="D65" s="3"/>
      <c r="E65" s="3"/>
      <c r="F65" s="3"/>
      <c r="H65" s="9"/>
      <c r="I65" s="9"/>
    </row>
    <row r="66" spans="2:9" ht="18.75" customHeight="1" x14ac:dyDescent="0.25">
      <c r="B66" s="15"/>
      <c r="C66" s="3"/>
      <c r="D66" s="3"/>
      <c r="E66" s="3"/>
      <c r="F66" s="3"/>
      <c r="H66" s="9"/>
      <c r="I66" s="9"/>
    </row>
    <row r="67" spans="2:9" ht="18.75" customHeight="1" x14ac:dyDescent="0.25">
      <c r="B67" s="15"/>
      <c r="C67" s="3"/>
      <c r="D67" s="3"/>
      <c r="E67" s="3"/>
      <c r="F67" s="3"/>
      <c r="H67" s="9"/>
      <c r="I67" s="9"/>
    </row>
    <row r="68" spans="2:9" ht="18.75" customHeight="1" x14ac:dyDescent="0.25">
      <c r="B68" s="15"/>
      <c r="C68" s="3"/>
      <c r="D68" s="3"/>
      <c r="E68" s="3"/>
      <c r="F68" s="3"/>
      <c r="H68" s="9"/>
      <c r="I68" s="9"/>
    </row>
    <row r="69" spans="2:9" ht="18.75" customHeight="1" x14ac:dyDescent="0.25">
      <c r="B69" s="15"/>
      <c r="C69" s="3"/>
      <c r="D69" s="3"/>
      <c r="E69" s="3"/>
      <c r="F69" s="3"/>
      <c r="H69" s="9"/>
      <c r="I69" s="9"/>
    </row>
    <row r="70" spans="2:9" ht="18.75" customHeight="1" x14ac:dyDescent="0.25">
      <c r="B70" s="15"/>
      <c r="C70" s="3"/>
      <c r="D70" s="3"/>
      <c r="E70" s="3"/>
      <c r="F70" s="3"/>
      <c r="H70" s="9"/>
      <c r="I70" s="9"/>
    </row>
    <row r="71" spans="2:9" ht="18.75" customHeight="1" x14ac:dyDescent="0.25">
      <c r="B71" s="15"/>
      <c r="C71" s="3"/>
      <c r="D71" s="3"/>
      <c r="E71" s="3"/>
      <c r="F71" s="3"/>
      <c r="H71" s="9"/>
      <c r="I71" s="9"/>
    </row>
    <row r="72" spans="2:9" ht="18.75" customHeight="1" x14ac:dyDescent="0.25">
      <c r="B72" s="15"/>
      <c r="C72" s="3"/>
      <c r="D72" s="3"/>
      <c r="E72" s="3"/>
      <c r="F72" s="3"/>
      <c r="H72" s="9"/>
      <c r="I72" s="9"/>
    </row>
    <row r="73" spans="2:9" ht="18.75" customHeight="1" x14ac:dyDescent="0.25">
      <c r="B73" s="15"/>
      <c r="C73" s="3"/>
      <c r="D73" s="3"/>
      <c r="E73" s="3"/>
      <c r="F73" s="3"/>
      <c r="H73" s="9"/>
      <c r="I73" s="9"/>
    </row>
    <row r="74" spans="2:9" ht="18.75" customHeight="1" x14ac:dyDescent="0.25">
      <c r="B74" s="15"/>
      <c r="C74" s="3"/>
      <c r="D74" s="3"/>
      <c r="E74" s="3"/>
      <c r="F74" s="3"/>
      <c r="H74" s="9"/>
      <c r="I74" s="9"/>
    </row>
    <row r="75" spans="2:9" ht="18.75" customHeight="1" x14ac:dyDescent="0.25">
      <c r="B75" s="15"/>
      <c r="C75" s="3"/>
      <c r="D75" s="3"/>
      <c r="E75" s="3"/>
      <c r="F75" s="3"/>
      <c r="H75" s="9"/>
      <c r="I75" s="9"/>
    </row>
    <row r="76" spans="2:9" ht="18.75" customHeight="1" x14ac:dyDescent="0.25">
      <c r="B76" s="15"/>
      <c r="C76" s="3"/>
      <c r="D76" s="3"/>
      <c r="E76" s="3"/>
      <c r="F76" s="3"/>
      <c r="H76" s="9"/>
      <c r="I76" s="9"/>
    </row>
    <row r="77" spans="2:9" ht="18.75" customHeight="1" x14ac:dyDescent="0.25">
      <c r="B77" s="15"/>
      <c r="C77" s="3"/>
      <c r="D77" s="3"/>
      <c r="E77" s="3"/>
      <c r="F77" s="3"/>
      <c r="H77" s="9"/>
      <c r="I77" s="9"/>
    </row>
    <row r="78" spans="2:9" ht="18.75" customHeight="1" x14ac:dyDescent="0.25">
      <c r="B78" s="15"/>
      <c r="C78" s="3"/>
      <c r="D78" s="3"/>
      <c r="E78" s="3"/>
      <c r="F78" s="3"/>
      <c r="H78" s="9"/>
      <c r="I78" s="9"/>
    </row>
    <row r="79" spans="2:9" ht="18.75" customHeight="1" x14ac:dyDescent="0.25">
      <c r="B79" s="15"/>
      <c r="C79" s="3"/>
      <c r="D79" s="3"/>
      <c r="E79" s="3"/>
      <c r="F79" s="3"/>
      <c r="H79" s="9"/>
      <c r="I79" s="9"/>
    </row>
    <row r="80" spans="2:9" ht="18.75" customHeight="1" x14ac:dyDescent="0.25">
      <c r="B80" s="15"/>
      <c r="C80" s="3"/>
      <c r="D80" s="3"/>
      <c r="E80" s="3"/>
      <c r="F80" s="3"/>
      <c r="H80" s="9"/>
      <c r="I80" s="9"/>
    </row>
    <row r="81" spans="2:9" ht="18.75" customHeight="1" x14ac:dyDescent="0.25">
      <c r="B81" s="15"/>
      <c r="C81" s="3"/>
      <c r="D81" s="3"/>
      <c r="E81" s="3"/>
      <c r="F81" s="3"/>
      <c r="H81" s="9"/>
      <c r="I81" s="9"/>
    </row>
    <row r="82" spans="2:9" ht="18.75" customHeight="1" x14ac:dyDescent="0.25">
      <c r="B82" s="15"/>
      <c r="C82" s="3"/>
      <c r="D82" s="3"/>
      <c r="E82" s="3"/>
      <c r="F82" s="3"/>
      <c r="H82" s="9"/>
      <c r="I82" s="9"/>
    </row>
    <row r="83" spans="2:9" ht="18.75" customHeight="1" x14ac:dyDescent="0.25">
      <c r="B83" s="15"/>
      <c r="C83" s="3"/>
      <c r="D83" s="3"/>
      <c r="E83" s="3"/>
      <c r="F83" s="3"/>
      <c r="H83" s="9"/>
      <c r="I83" s="9"/>
    </row>
    <row r="84" spans="2:9" ht="18.75" customHeight="1" x14ac:dyDescent="0.25">
      <c r="B84" s="15"/>
      <c r="C84" s="3"/>
      <c r="D84" s="3"/>
      <c r="E84" s="3"/>
      <c r="F84" s="3"/>
      <c r="H84" s="9"/>
      <c r="I84" s="9"/>
    </row>
    <row r="85" spans="2:9" ht="18.75" customHeight="1" x14ac:dyDescent="0.25">
      <c r="B85" s="15"/>
      <c r="C85" s="3"/>
      <c r="D85" s="3"/>
      <c r="E85" s="3"/>
      <c r="F85" s="3"/>
      <c r="H85" s="9"/>
      <c r="I85" s="9"/>
    </row>
    <row r="86" spans="2:9" ht="18.75" customHeight="1" x14ac:dyDescent="0.25">
      <c r="B86" s="15"/>
      <c r="C86" s="3"/>
      <c r="D86" s="3"/>
      <c r="E86" s="3"/>
      <c r="F86" s="3"/>
      <c r="H86" s="9"/>
      <c r="I86" s="9"/>
    </row>
    <row r="87" spans="2:9" ht="18.75" customHeight="1" x14ac:dyDescent="0.25">
      <c r="B87" s="15"/>
      <c r="C87" s="3"/>
      <c r="D87" s="3"/>
      <c r="E87" s="3"/>
      <c r="F87" s="3"/>
      <c r="H87" s="9"/>
      <c r="I87" s="9"/>
    </row>
    <row r="88" spans="2:9" ht="18.75" customHeight="1" x14ac:dyDescent="0.25">
      <c r="B88" s="15"/>
      <c r="C88" s="3"/>
      <c r="D88" s="3"/>
      <c r="E88" s="3"/>
      <c r="F88" s="3"/>
      <c r="H88" s="9"/>
      <c r="I88" s="9"/>
    </row>
    <row r="89" spans="2:9" ht="18.75" customHeight="1" x14ac:dyDescent="0.25">
      <c r="B89" s="15"/>
      <c r="C89" s="3"/>
      <c r="D89" s="3"/>
      <c r="E89" s="3"/>
      <c r="F89" s="3"/>
      <c r="H89" s="9"/>
      <c r="I89" s="9"/>
    </row>
    <row r="90" spans="2:9" ht="18.75" customHeight="1" x14ac:dyDescent="0.25">
      <c r="B90" s="15"/>
      <c r="C90" s="3"/>
      <c r="D90" s="3"/>
      <c r="E90" s="3"/>
      <c r="F90" s="3"/>
      <c r="H90" s="9"/>
      <c r="I90" s="9"/>
    </row>
    <row r="91" spans="2:9" ht="18.75" customHeight="1" x14ac:dyDescent="0.25">
      <c r="B91" s="15"/>
      <c r="C91" s="3"/>
      <c r="D91" s="3"/>
      <c r="E91" s="3"/>
      <c r="F91" s="3"/>
      <c r="H91" s="9"/>
      <c r="I91" s="9"/>
    </row>
    <row r="92" spans="2:9" ht="18.75" customHeight="1" x14ac:dyDescent="0.25">
      <c r="B92" s="15"/>
      <c r="C92" s="3"/>
      <c r="D92" s="3"/>
      <c r="E92" s="3"/>
      <c r="F92" s="3"/>
      <c r="H92" s="9"/>
      <c r="I92" s="9"/>
    </row>
    <row r="93" spans="2:9" ht="18.75" customHeight="1" x14ac:dyDescent="0.25">
      <c r="B93" s="15"/>
      <c r="C93" s="3"/>
      <c r="D93" s="3"/>
      <c r="E93" s="3"/>
      <c r="F93" s="3"/>
      <c r="H93" s="9"/>
      <c r="I93" s="9"/>
    </row>
    <row r="94" spans="2:9" ht="18.75" customHeight="1" x14ac:dyDescent="0.25">
      <c r="B94" s="15"/>
      <c r="C94" s="3"/>
      <c r="D94" s="3"/>
      <c r="E94" s="3"/>
      <c r="F94" s="3"/>
      <c r="H94" s="9"/>
      <c r="I94" s="9"/>
    </row>
    <row r="95" spans="2:9" ht="18.75" customHeight="1" x14ac:dyDescent="0.25">
      <c r="B95" s="15"/>
      <c r="C95" s="3"/>
      <c r="D95" s="3"/>
      <c r="E95" s="3"/>
      <c r="F95" s="3"/>
      <c r="H95" s="9"/>
      <c r="I95" s="9"/>
    </row>
    <row r="96" spans="2:9" ht="18.75" customHeight="1" x14ac:dyDescent="0.25">
      <c r="B96" s="15"/>
      <c r="C96" s="3"/>
      <c r="D96" s="3"/>
      <c r="E96" s="3"/>
      <c r="F96" s="3"/>
      <c r="H96" s="9"/>
      <c r="I96" s="9"/>
    </row>
    <row r="97" spans="2:9" ht="18.75" customHeight="1" x14ac:dyDescent="0.25">
      <c r="B97" s="15"/>
      <c r="C97" s="3"/>
      <c r="D97" s="3"/>
      <c r="E97" s="3"/>
      <c r="F97" s="3"/>
      <c r="H97" s="9"/>
      <c r="I97" s="9"/>
    </row>
    <row r="98" spans="2:9" ht="18.75" customHeight="1" x14ac:dyDescent="0.25">
      <c r="B98" s="15"/>
      <c r="C98" s="3"/>
      <c r="D98" s="3"/>
      <c r="E98" s="3"/>
      <c r="F98" s="3"/>
      <c r="H98" s="9"/>
      <c r="I98" s="9"/>
    </row>
    <row r="99" spans="2:9" ht="18.75" customHeight="1" x14ac:dyDescent="0.25">
      <c r="B99" s="15"/>
      <c r="C99" s="3"/>
      <c r="D99" s="3"/>
      <c r="E99" s="3"/>
      <c r="F99" s="3"/>
      <c r="H99" s="9"/>
      <c r="I99" s="9"/>
    </row>
    <row r="100" spans="2:9" ht="18.75" customHeight="1" x14ac:dyDescent="0.25">
      <c r="B100" s="15"/>
      <c r="C100" s="3"/>
      <c r="D100" s="3"/>
      <c r="E100" s="3"/>
      <c r="F100" s="3"/>
      <c r="H100" s="9"/>
      <c r="I100" s="9"/>
    </row>
    <row r="101" spans="2:9" ht="18.75" customHeight="1" x14ac:dyDescent="0.25">
      <c r="B101" s="15"/>
      <c r="C101" s="3"/>
      <c r="D101" s="3"/>
      <c r="E101" s="3"/>
      <c r="F101" s="3"/>
      <c r="H101" s="9"/>
      <c r="I101" s="9"/>
    </row>
    <row r="102" spans="2:9" ht="18.75" customHeight="1" x14ac:dyDescent="0.25">
      <c r="B102" s="15"/>
      <c r="C102" s="3"/>
      <c r="D102" s="3"/>
      <c r="E102" s="3"/>
      <c r="F102" s="3"/>
      <c r="H102" s="9"/>
      <c r="I102" s="9"/>
    </row>
    <row r="103" spans="2:9" ht="18.75" customHeight="1" x14ac:dyDescent="0.25">
      <c r="B103" s="15"/>
      <c r="C103" s="3"/>
      <c r="D103" s="3"/>
      <c r="E103" s="3"/>
      <c r="F103" s="3"/>
      <c r="H103" s="9"/>
      <c r="I103" s="9"/>
    </row>
    <row r="104" spans="2:9" ht="18.75" customHeight="1" x14ac:dyDescent="0.25">
      <c r="B104" s="15"/>
      <c r="C104" s="3"/>
      <c r="D104" s="3"/>
      <c r="E104" s="3"/>
      <c r="F104" s="3"/>
      <c r="H104" s="9"/>
      <c r="I104" s="9"/>
    </row>
    <row r="105" spans="2:9" ht="18.75" customHeight="1" x14ac:dyDescent="0.25">
      <c r="B105" s="15"/>
      <c r="C105" s="3"/>
      <c r="D105" s="3"/>
      <c r="E105" s="3"/>
      <c r="F105" s="3"/>
      <c r="H105" s="9"/>
      <c r="I105" s="9"/>
    </row>
    <row r="106" spans="2:9" ht="18.75" customHeight="1" x14ac:dyDescent="0.25">
      <c r="B106" s="15"/>
      <c r="C106" s="3"/>
      <c r="D106" s="3"/>
      <c r="E106" s="3"/>
      <c r="F106" s="3"/>
      <c r="H106" s="9"/>
      <c r="I106" s="9"/>
    </row>
    <row r="107" spans="2:9" ht="18.75" customHeight="1" x14ac:dyDescent="0.25">
      <c r="B107" s="15"/>
      <c r="C107" s="3"/>
      <c r="D107" s="3"/>
      <c r="E107" s="3"/>
      <c r="F107" s="3"/>
      <c r="H107" s="9"/>
      <c r="I107" s="9"/>
    </row>
    <row r="108" spans="2:9" ht="18.75" customHeight="1" x14ac:dyDescent="0.25">
      <c r="B108" s="15"/>
      <c r="C108" s="3"/>
      <c r="D108" s="3"/>
      <c r="E108" s="3"/>
      <c r="F108" s="3"/>
      <c r="H108" s="9"/>
      <c r="I108" s="9"/>
    </row>
    <row r="109" spans="2:9" ht="18.75" customHeight="1" x14ac:dyDescent="0.25">
      <c r="B109" s="15"/>
      <c r="C109" s="3"/>
      <c r="D109" s="3"/>
      <c r="E109" s="3"/>
      <c r="F109" s="3"/>
      <c r="H109" s="9"/>
      <c r="I109" s="9"/>
    </row>
    <row r="110" spans="2:9" ht="18.75" customHeight="1" x14ac:dyDescent="0.25">
      <c r="B110" s="15"/>
      <c r="C110" s="3"/>
      <c r="D110" s="3"/>
      <c r="E110" s="3"/>
      <c r="F110" s="3"/>
      <c r="H110" s="9"/>
      <c r="I110" s="9"/>
    </row>
    <row r="111" spans="2:9" ht="18.75" customHeight="1" x14ac:dyDescent="0.25">
      <c r="B111" s="15"/>
      <c r="C111" s="3"/>
      <c r="D111" s="3"/>
      <c r="E111" s="3"/>
      <c r="F111" s="3"/>
      <c r="H111" s="9"/>
      <c r="I111" s="9"/>
    </row>
    <row r="112" spans="2:9" ht="18.75" customHeight="1" x14ac:dyDescent="0.25">
      <c r="B112" s="15"/>
      <c r="C112" s="3"/>
      <c r="D112" s="3"/>
      <c r="E112" s="3"/>
      <c r="F112" s="3"/>
      <c r="H112" s="9"/>
      <c r="I112" s="9"/>
    </row>
    <row r="113" spans="2:9" ht="18.75" customHeight="1" x14ac:dyDescent="0.25">
      <c r="B113" s="15"/>
      <c r="C113" s="3"/>
      <c r="D113" s="3"/>
      <c r="E113" s="3"/>
      <c r="F113" s="3"/>
      <c r="H113" s="9"/>
      <c r="I113" s="9"/>
    </row>
    <row r="114" spans="2:9" ht="18.75" customHeight="1" x14ac:dyDescent="0.25">
      <c r="B114" s="15"/>
      <c r="C114" s="3"/>
      <c r="D114" s="3"/>
      <c r="E114" s="3"/>
      <c r="F114" s="3"/>
      <c r="H114" s="9"/>
      <c r="I114" s="9"/>
    </row>
    <row r="115" spans="2:9" ht="18.75" customHeight="1" x14ac:dyDescent="0.25">
      <c r="B115" s="15"/>
      <c r="C115" s="3"/>
      <c r="D115" s="3"/>
      <c r="E115" s="3"/>
      <c r="F115" s="3"/>
      <c r="H115" s="9"/>
      <c r="I115" s="9"/>
    </row>
    <row r="116" spans="2:9" ht="18.75" customHeight="1" x14ac:dyDescent="0.25">
      <c r="B116" s="15"/>
      <c r="C116" s="3"/>
      <c r="D116" s="3"/>
      <c r="E116" s="3"/>
      <c r="F116" s="3"/>
      <c r="H116" s="9"/>
      <c r="I116" s="9"/>
    </row>
    <row r="117" spans="2:9" ht="18.75" customHeight="1" x14ac:dyDescent="0.25">
      <c r="B117" s="15"/>
      <c r="C117" s="3"/>
      <c r="D117" s="3"/>
      <c r="E117" s="3"/>
      <c r="F117" s="3"/>
      <c r="H117" s="9"/>
      <c r="I117" s="9"/>
    </row>
    <row r="118" spans="2:9" ht="18.75" customHeight="1" x14ac:dyDescent="0.25">
      <c r="B118" s="15"/>
      <c r="C118" s="3"/>
      <c r="D118" s="3"/>
      <c r="E118" s="3"/>
      <c r="F118" s="3"/>
      <c r="H118" s="9"/>
      <c r="I118" s="9"/>
    </row>
    <row r="119" spans="2:9" ht="18.75" customHeight="1" x14ac:dyDescent="0.25">
      <c r="B119" s="15"/>
      <c r="C119" s="3"/>
      <c r="D119" s="3"/>
      <c r="E119" s="3"/>
      <c r="F119" s="3"/>
      <c r="H119" s="9"/>
      <c r="I119" s="9"/>
    </row>
    <row r="120" spans="2:9" ht="18.75" customHeight="1" x14ac:dyDescent="0.25">
      <c r="B120" s="15"/>
      <c r="C120" s="3"/>
      <c r="D120" s="3"/>
      <c r="E120" s="3"/>
      <c r="F120" s="3"/>
      <c r="H120" s="9"/>
      <c r="I120" s="9"/>
    </row>
    <row r="121" spans="2:9" ht="18.75" customHeight="1" x14ac:dyDescent="0.25">
      <c r="B121" s="15"/>
      <c r="C121" s="3"/>
      <c r="D121" s="3"/>
      <c r="E121" s="3"/>
      <c r="F121" s="3"/>
      <c r="H121" s="9"/>
      <c r="I121" s="9"/>
    </row>
    <row r="122" spans="2:9" ht="18.75" customHeight="1" x14ac:dyDescent="0.25">
      <c r="B122" s="15"/>
      <c r="C122" s="3"/>
      <c r="D122" s="3"/>
      <c r="E122" s="3"/>
      <c r="F122" s="3"/>
      <c r="H122" s="9"/>
      <c r="I122" s="9"/>
    </row>
    <row r="123" spans="2:9" ht="18.75" customHeight="1" x14ac:dyDescent="0.25">
      <c r="B123" s="15"/>
      <c r="C123" s="3"/>
      <c r="D123" s="3"/>
      <c r="E123" s="3"/>
      <c r="F123" s="3"/>
      <c r="H123" s="9"/>
      <c r="I123" s="9"/>
    </row>
    <row r="124" spans="2:9" ht="18.75" customHeight="1" x14ac:dyDescent="0.25">
      <c r="B124" s="15"/>
      <c r="C124" s="3"/>
      <c r="D124" s="3"/>
      <c r="E124" s="3"/>
      <c r="F124" s="3"/>
      <c r="H124" s="9"/>
      <c r="I124" s="9"/>
    </row>
    <row r="125" spans="2:9" ht="18.75" customHeight="1" x14ac:dyDescent="0.25">
      <c r="B125" s="15"/>
      <c r="C125" s="3"/>
      <c r="D125" s="3"/>
      <c r="E125" s="3"/>
      <c r="F125" s="3"/>
      <c r="H125" s="9"/>
      <c r="I125" s="9"/>
    </row>
    <row r="126" spans="2:9" ht="18.75" customHeight="1" x14ac:dyDescent="0.25">
      <c r="B126" s="15"/>
      <c r="C126" s="3"/>
      <c r="D126" s="3"/>
      <c r="E126" s="3"/>
      <c r="F126" s="3"/>
      <c r="H126" s="9"/>
      <c r="I126" s="9"/>
    </row>
    <row r="127" spans="2:9" ht="18.75" customHeight="1" x14ac:dyDescent="0.25">
      <c r="B127" s="15"/>
      <c r="C127" s="3"/>
      <c r="D127" s="3"/>
      <c r="E127" s="3"/>
      <c r="F127" s="3"/>
      <c r="H127" s="9"/>
      <c r="I127" s="9"/>
    </row>
    <row r="128" spans="2:9" ht="18.75" customHeight="1" x14ac:dyDescent="0.25">
      <c r="B128" s="15"/>
      <c r="C128" s="3"/>
      <c r="D128" s="3"/>
      <c r="E128" s="3"/>
      <c r="F128" s="3"/>
      <c r="H128" s="9"/>
      <c r="I128" s="9"/>
    </row>
    <row r="129" spans="2:9" ht="18.75" customHeight="1" x14ac:dyDescent="0.25">
      <c r="B129" s="15"/>
      <c r="C129" s="3"/>
      <c r="D129" s="3"/>
      <c r="E129" s="3"/>
      <c r="F129" s="3"/>
      <c r="H129" s="9"/>
      <c r="I129" s="9"/>
    </row>
    <row r="130" spans="2:9" ht="18.75" customHeight="1" x14ac:dyDescent="0.25">
      <c r="B130" s="15"/>
      <c r="C130" s="3"/>
      <c r="D130" s="3"/>
      <c r="E130" s="3"/>
      <c r="F130" s="3"/>
      <c r="H130" s="9"/>
      <c r="I130" s="9"/>
    </row>
    <row r="131" spans="2:9" ht="18.75" customHeight="1" x14ac:dyDescent="0.25">
      <c r="B131" s="15"/>
      <c r="C131" s="3"/>
      <c r="D131" s="3"/>
      <c r="E131" s="3"/>
      <c r="F131" s="3"/>
      <c r="H131" s="9"/>
      <c r="I131" s="9"/>
    </row>
    <row r="132" spans="2:9" ht="18.75" customHeight="1" x14ac:dyDescent="0.25">
      <c r="B132" s="15"/>
      <c r="C132" s="3"/>
      <c r="D132" s="3"/>
      <c r="E132" s="3"/>
      <c r="F132" s="3"/>
      <c r="H132" s="9"/>
      <c r="I132" s="9"/>
    </row>
    <row r="133" spans="2:9" ht="18.75" customHeight="1" x14ac:dyDescent="0.25">
      <c r="B133" s="15"/>
      <c r="C133" s="3"/>
      <c r="D133" s="3"/>
      <c r="E133" s="3"/>
      <c r="F133" s="3"/>
      <c r="H133" s="9"/>
      <c r="I133" s="9"/>
    </row>
    <row r="134" spans="2:9" ht="18.75" customHeight="1" x14ac:dyDescent="0.25">
      <c r="B134" s="15"/>
      <c r="C134" s="3"/>
      <c r="D134" s="3"/>
      <c r="E134" s="3"/>
      <c r="F134" s="3"/>
      <c r="H134" s="9"/>
      <c r="I134" s="9"/>
    </row>
    <row r="135" spans="2:9" ht="18.75" customHeight="1" x14ac:dyDescent="0.25">
      <c r="B135" s="15"/>
      <c r="C135" s="3"/>
      <c r="D135" s="3"/>
      <c r="E135" s="3"/>
      <c r="F135" s="3"/>
      <c r="H135" s="9"/>
      <c r="I135" s="9"/>
    </row>
    <row r="136" spans="2:9" ht="18.75" customHeight="1" x14ac:dyDescent="0.25">
      <c r="B136" s="15"/>
      <c r="C136" s="3"/>
      <c r="D136" s="3"/>
      <c r="E136" s="3"/>
      <c r="F136" s="3"/>
      <c r="H136" s="9"/>
      <c r="I136" s="9"/>
    </row>
    <row r="137" spans="2:9" ht="18.75" customHeight="1" x14ac:dyDescent="0.25">
      <c r="B137" s="15"/>
      <c r="C137" s="3"/>
      <c r="D137" s="3"/>
      <c r="E137" s="3"/>
      <c r="F137" s="3"/>
      <c r="H137" s="9"/>
      <c r="I137" s="9"/>
    </row>
    <row r="138" spans="2:9" ht="18.75" customHeight="1" x14ac:dyDescent="0.25">
      <c r="B138" s="15"/>
      <c r="C138" s="3"/>
      <c r="D138" s="3"/>
      <c r="E138" s="3"/>
      <c r="F138" s="3"/>
      <c r="H138" s="9"/>
      <c r="I138" s="9"/>
    </row>
    <row r="139" spans="2:9" ht="18.75" customHeight="1" x14ac:dyDescent="0.25">
      <c r="B139" s="15"/>
      <c r="C139" s="3"/>
      <c r="D139" s="3"/>
      <c r="E139" s="3"/>
      <c r="F139" s="3"/>
      <c r="H139" s="9"/>
      <c r="I139" s="9"/>
    </row>
    <row r="140" spans="2:9" ht="18.75" customHeight="1" x14ac:dyDescent="0.25">
      <c r="B140" s="15"/>
      <c r="C140" s="3"/>
      <c r="D140" s="3"/>
      <c r="E140" s="3"/>
      <c r="F140" s="3"/>
      <c r="H140" s="9"/>
      <c r="I140" s="9"/>
    </row>
    <row r="141" spans="2:9" ht="18.75" customHeight="1" x14ac:dyDescent="0.25">
      <c r="B141" s="15"/>
      <c r="C141" s="3"/>
      <c r="D141" s="3"/>
      <c r="E141" s="3"/>
      <c r="F141" s="3"/>
      <c r="H141" s="9"/>
      <c r="I141" s="9"/>
    </row>
    <row r="142" spans="2:9" ht="18.75" customHeight="1" x14ac:dyDescent="0.25">
      <c r="B142" s="15"/>
      <c r="C142" s="3"/>
      <c r="D142" s="3"/>
      <c r="E142" s="3"/>
      <c r="F142" s="3"/>
      <c r="H142" s="9"/>
      <c r="I142" s="9"/>
    </row>
    <row r="143" spans="2:9" ht="18.75" customHeight="1" x14ac:dyDescent="0.25">
      <c r="B143" s="15"/>
      <c r="C143" s="3"/>
      <c r="D143" s="3"/>
      <c r="E143" s="3"/>
      <c r="F143" s="3"/>
      <c r="H143" s="9"/>
      <c r="I143" s="9"/>
    </row>
    <row r="144" spans="2:9" ht="18.75" customHeight="1" x14ac:dyDescent="0.25">
      <c r="B144" s="15"/>
      <c r="C144" s="3"/>
      <c r="D144" s="3"/>
      <c r="E144" s="3"/>
      <c r="F144" s="3"/>
      <c r="H144" s="9"/>
      <c r="I144" s="9"/>
    </row>
    <row r="145" spans="2:9" ht="18.75" customHeight="1" x14ac:dyDescent="0.25">
      <c r="B145" s="15"/>
      <c r="C145" s="3"/>
      <c r="D145" s="3"/>
      <c r="E145" s="3"/>
      <c r="F145" s="3"/>
      <c r="H145" s="9"/>
      <c r="I145" s="9"/>
    </row>
    <row r="146" spans="2:9" ht="18.75" customHeight="1" x14ac:dyDescent="0.25">
      <c r="B146" s="15"/>
      <c r="C146" s="3"/>
      <c r="D146" s="3"/>
      <c r="E146" s="3"/>
      <c r="F146" s="3"/>
      <c r="H146" s="9"/>
      <c r="I146" s="9"/>
    </row>
    <row r="147" spans="2:9" ht="18.75" customHeight="1" x14ac:dyDescent="0.25">
      <c r="B147" s="15"/>
      <c r="C147" s="3"/>
      <c r="D147" s="3"/>
      <c r="E147" s="3"/>
      <c r="F147" s="3"/>
      <c r="H147" s="9"/>
      <c r="I147" s="9"/>
    </row>
    <row r="148" spans="2:9" ht="18.75" customHeight="1" x14ac:dyDescent="0.25">
      <c r="B148" s="15"/>
      <c r="C148" s="3"/>
      <c r="D148" s="3"/>
      <c r="E148" s="3"/>
      <c r="F148" s="3"/>
      <c r="H148" s="9"/>
      <c r="I148" s="9"/>
    </row>
    <row r="149" spans="2:9" ht="18.75" customHeight="1" x14ac:dyDescent="0.25">
      <c r="B149" s="15"/>
      <c r="C149" s="3"/>
      <c r="D149" s="3"/>
      <c r="E149" s="3"/>
      <c r="F149" s="3"/>
      <c r="H149" s="9"/>
      <c r="I149" s="9"/>
    </row>
    <row r="150" spans="2:9" ht="18.75" customHeight="1" x14ac:dyDescent="0.25">
      <c r="B150" s="15"/>
      <c r="C150" s="3"/>
      <c r="D150" s="3"/>
      <c r="E150" s="3"/>
      <c r="F150" s="3"/>
      <c r="H150" s="9"/>
      <c r="I150" s="9"/>
    </row>
    <row r="151" spans="2:9" ht="18.75" customHeight="1" x14ac:dyDescent="0.25">
      <c r="B151" s="15"/>
      <c r="C151" s="3"/>
      <c r="D151" s="3"/>
      <c r="E151" s="3"/>
      <c r="F151" s="3"/>
      <c r="H151" s="9"/>
      <c r="I151" s="9"/>
    </row>
    <row r="152" spans="2:9" ht="18.75" customHeight="1" x14ac:dyDescent="0.25">
      <c r="B152" s="15"/>
      <c r="C152" s="3"/>
      <c r="D152" s="3"/>
      <c r="E152" s="3"/>
      <c r="F152" s="3"/>
      <c r="H152" s="9"/>
      <c r="I152" s="9"/>
    </row>
    <row r="153" spans="2:9" ht="18.75" customHeight="1" x14ac:dyDescent="0.25">
      <c r="B153" s="15"/>
      <c r="C153" s="3"/>
      <c r="D153" s="3"/>
      <c r="E153" s="3"/>
      <c r="F153" s="3"/>
      <c r="H153" s="9"/>
      <c r="I153" s="9"/>
    </row>
    <row r="154" spans="2:9" ht="18.75" customHeight="1" x14ac:dyDescent="0.25">
      <c r="B154" s="15"/>
      <c r="C154" s="3"/>
      <c r="D154" s="3"/>
      <c r="E154" s="3"/>
      <c r="F154" s="3"/>
      <c r="H154" s="9"/>
      <c r="I154" s="9"/>
    </row>
    <row r="155" spans="2:9" ht="18.75" customHeight="1" x14ac:dyDescent="0.25">
      <c r="B155" s="15"/>
      <c r="C155" s="3"/>
      <c r="D155" s="3"/>
      <c r="E155" s="3"/>
      <c r="F155" s="3"/>
      <c r="H155" s="9"/>
      <c r="I155" s="9"/>
    </row>
    <row r="156" spans="2:9" ht="18.75" customHeight="1" x14ac:dyDescent="0.25">
      <c r="B156" s="15"/>
      <c r="C156" s="3"/>
      <c r="D156" s="3"/>
      <c r="E156" s="3"/>
      <c r="F156" s="3"/>
      <c r="H156" s="9"/>
      <c r="I156" s="9"/>
    </row>
    <row r="157" spans="2:9" ht="18.75" customHeight="1" x14ac:dyDescent="0.25">
      <c r="B157" s="15"/>
      <c r="C157" s="3"/>
      <c r="D157" s="3"/>
      <c r="E157" s="3"/>
      <c r="F157" s="3"/>
      <c r="H157" s="9"/>
      <c r="I157" s="9"/>
    </row>
    <row r="158" spans="2:9" ht="18.75" customHeight="1" x14ac:dyDescent="0.25">
      <c r="B158" s="15"/>
      <c r="C158" s="3"/>
      <c r="D158" s="3"/>
      <c r="E158" s="3"/>
      <c r="F158" s="3"/>
      <c r="H158" s="9"/>
      <c r="I158" s="9"/>
    </row>
    <row r="159" spans="2:9" ht="18.75" customHeight="1" x14ac:dyDescent="0.25">
      <c r="B159" s="15"/>
      <c r="C159" s="3"/>
      <c r="D159" s="3"/>
      <c r="E159" s="3"/>
      <c r="F159" s="3"/>
      <c r="H159" s="9"/>
      <c r="I159" s="9"/>
    </row>
    <row r="160" spans="2:9" ht="18.75" customHeight="1" x14ac:dyDescent="0.25">
      <c r="B160" s="15"/>
      <c r="C160" s="3"/>
      <c r="D160" s="3"/>
      <c r="E160" s="3"/>
      <c r="F160" s="3"/>
      <c r="H160" s="9"/>
      <c r="I160" s="9"/>
    </row>
    <row r="161" spans="2:9" ht="18.75" customHeight="1" x14ac:dyDescent="0.25">
      <c r="B161" s="15"/>
      <c r="C161" s="3"/>
      <c r="D161" s="3"/>
      <c r="E161" s="3"/>
      <c r="F161" s="3"/>
      <c r="H161" s="9"/>
      <c r="I161" s="9"/>
    </row>
    <row r="162" spans="2:9" ht="18.75" customHeight="1" x14ac:dyDescent="0.25">
      <c r="B162" s="15"/>
      <c r="C162" s="3"/>
      <c r="D162" s="3"/>
      <c r="E162" s="3"/>
      <c r="F162" s="3"/>
      <c r="H162" s="9"/>
      <c r="I162" s="9"/>
    </row>
    <row r="163" spans="2:9" ht="18.75" customHeight="1" x14ac:dyDescent="0.25">
      <c r="B163" s="15"/>
      <c r="C163" s="3"/>
      <c r="D163" s="3"/>
      <c r="E163" s="3"/>
      <c r="F163" s="3"/>
      <c r="H163" s="9"/>
      <c r="I163" s="9"/>
    </row>
    <row r="164" spans="2:9" ht="18.75" customHeight="1" x14ac:dyDescent="0.25">
      <c r="B164" s="15"/>
      <c r="C164" s="3"/>
      <c r="D164" s="3"/>
      <c r="E164" s="3"/>
      <c r="F164" s="3"/>
      <c r="H164" s="9"/>
      <c r="I164" s="9"/>
    </row>
    <row r="165" spans="2:9" ht="18.75" customHeight="1" x14ac:dyDescent="0.25">
      <c r="B165" s="15"/>
      <c r="C165" s="3"/>
      <c r="D165" s="3"/>
      <c r="E165" s="3"/>
      <c r="F165" s="3"/>
      <c r="H165" s="9"/>
      <c r="I165" s="9"/>
    </row>
    <row r="166" spans="2:9" ht="18.75" customHeight="1" x14ac:dyDescent="0.25">
      <c r="B166" s="15"/>
      <c r="C166" s="3"/>
      <c r="D166" s="3"/>
      <c r="E166" s="3"/>
      <c r="F166" s="3"/>
      <c r="H166" s="9"/>
      <c r="I166" s="9"/>
    </row>
    <row r="167" spans="2:9" ht="18.75" customHeight="1" x14ac:dyDescent="0.25">
      <c r="B167" s="15"/>
      <c r="C167" s="3"/>
      <c r="D167" s="3"/>
      <c r="E167" s="3"/>
      <c r="F167" s="3"/>
      <c r="H167" s="9"/>
      <c r="I167" s="9"/>
    </row>
    <row r="168" spans="2:9" ht="18.75" customHeight="1" x14ac:dyDescent="0.25">
      <c r="B168" s="15"/>
      <c r="C168" s="3"/>
      <c r="D168" s="3"/>
      <c r="E168" s="3"/>
      <c r="F168" s="3"/>
      <c r="H168" s="9"/>
      <c r="I168" s="9"/>
    </row>
    <row r="169" spans="2:9" ht="18.75" customHeight="1" x14ac:dyDescent="0.25">
      <c r="B169" s="15"/>
      <c r="C169" s="3"/>
      <c r="D169" s="3"/>
      <c r="E169" s="3"/>
      <c r="F169" s="3"/>
      <c r="H169" s="9"/>
      <c r="I169" s="9"/>
    </row>
    <row r="170" spans="2:9" ht="18.75" customHeight="1" x14ac:dyDescent="0.25">
      <c r="B170" s="15"/>
      <c r="C170" s="3"/>
      <c r="D170" s="3"/>
      <c r="E170" s="3"/>
      <c r="F170" s="3"/>
      <c r="H170" s="9"/>
      <c r="I170" s="9"/>
    </row>
    <row r="171" spans="2:9" ht="18.75" customHeight="1" x14ac:dyDescent="0.25">
      <c r="B171" s="15"/>
      <c r="C171" s="3"/>
      <c r="D171" s="3"/>
      <c r="E171" s="3"/>
      <c r="F171" s="3"/>
      <c r="H171" s="9"/>
      <c r="I171" s="9"/>
    </row>
    <row r="172" spans="2:9" ht="18.75" customHeight="1" x14ac:dyDescent="0.25">
      <c r="B172" s="15"/>
      <c r="C172" s="3"/>
      <c r="D172" s="3"/>
      <c r="E172" s="3"/>
      <c r="F172" s="3"/>
      <c r="H172" s="9"/>
      <c r="I172" s="9"/>
    </row>
    <row r="173" spans="2:9" ht="18.75" customHeight="1" x14ac:dyDescent="0.25">
      <c r="B173" s="15"/>
      <c r="C173" s="3"/>
      <c r="D173" s="3"/>
      <c r="E173" s="3"/>
      <c r="F173" s="3"/>
      <c r="H173" s="9"/>
      <c r="I173" s="9"/>
    </row>
    <row r="174" spans="2:9" ht="18.75" customHeight="1" x14ac:dyDescent="0.25">
      <c r="B174" s="15"/>
      <c r="C174" s="3"/>
      <c r="D174" s="3"/>
      <c r="E174" s="3"/>
      <c r="F174" s="3"/>
      <c r="H174" s="9"/>
      <c r="I174" s="9"/>
    </row>
    <row r="175" spans="2:9" ht="18.75" customHeight="1" x14ac:dyDescent="0.25">
      <c r="B175" s="15"/>
      <c r="C175" s="3"/>
      <c r="D175" s="3"/>
      <c r="E175" s="3"/>
      <c r="F175" s="3"/>
      <c r="H175" s="9"/>
      <c r="I175" s="9"/>
    </row>
    <row r="176" spans="2:9" ht="18.75" customHeight="1" x14ac:dyDescent="0.25">
      <c r="B176" s="15"/>
      <c r="C176" s="3"/>
      <c r="D176" s="3"/>
      <c r="E176" s="3"/>
      <c r="F176" s="3"/>
      <c r="H176" s="9"/>
      <c r="I176" s="9"/>
    </row>
    <row r="177" spans="2:9" ht="18.75" customHeight="1" x14ac:dyDescent="0.25">
      <c r="B177" s="15"/>
      <c r="C177" s="3"/>
      <c r="D177" s="3"/>
      <c r="E177" s="3"/>
      <c r="F177" s="3"/>
      <c r="H177" s="9"/>
      <c r="I177" s="9"/>
    </row>
    <row r="178" spans="2:9" ht="18.75" customHeight="1" x14ac:dyDescent="0.25">
      <c r="B178" s="15"/>
      <c r="C178" s="3"/>
      <c r="D178" s="3"/>
      <c r="E178" s="3"/>
      <c r="F178" s="3"/>
      <c r="H178" s="9"/>
      <c r="I178" s="9"/>
    </row>
    <row r="179" spans="2:9" ht="18.75" customHeight="1" x14ac:dyDescent="0.25">
      <c r="B179" s="15"/>
      <c r="C179" s="3"/>
      <c r="D179" s="3"/>
      <c r="E179" s="3"/>
      <c r="F179" s="3"/>
      <c r="H179" s="9"/>
      <c r="I179" s="9"/>
    </row>
    <row r="180" spans="2:9" ht="18.75" customHeight="1" x14ac:dyDescent="0.25">
      <c r="B180" s="15"/>
      <c r="C180" s="3"/>
      <c r="D180" s="3"/>
      <c r="E180" s="3"/>
      <c r="F180" s="3"/>
      <c r="H180" s="9"/>
      <c r="I180" s="9"/>
    </row>
    <row r="181" spans="2:9" ht="18.75" customHeight="1" x14ac:dyDescent="0.25">
      <c r="B181" s="15"/>
      <c r="C181" s="3"/>
      <c r="D181" s="3"/>
      <c r="E181" s="3"/>
      <c r="F181" s="3"/>
      <c r="H181" s="9"/>
      <c r="I181" s="9"/>
    </row>
    <row r="182" spans="2:9" ht="18.75" customHeight="1" x14ac:dyDescent="0.25">
      <c r="B182" s="15"/>
      <c r="C182" s="3"/>
      <c r="D182" s="3"/>
      <c r="E182" s="3"/>
      <c r="F182" s="3"/>
      <c r="H182" s="9"/>
      <c r="I182" s="9"/>
    </row>
    <row r="183" spans="2:9" ht="18.75" customHeight="1" x14ac:dyDescent="0.25">
      <c r="B183" s="15"/>
      <c r="C183" s="3"/>
      <c r="D183" s="3"/>
      <c r="E183" s="3"/>
      <c r="F183" s="3"/>
      <c r="H183" s="9"/>
      <c r="I183" s="9"/>
    </row>
    <row r="184" spans="2:9" ht="18.75" customHeight="1" x14ac:dyDescent="0.25">
      <c r="B184" s="15"/>
      <c r="C184" s="3"/>
      <c r="D184" s="3"/>
      <c r="E184" s="3"/>
      <c r="F184" s="3"/>
      <c r="H184" s="9"/>
      <c r="I184" s="9"/>
    </row>
    <row r="185" spans="2:9" ht="18.75" customHeight="1" x14ac:dyDescent="0.25">
      <c r="B185" s="15"/>
      <c r="C185" s="3"/>
      <c r="D185" s="3"/>
      <c r="E185" s="3"/>
      <c r="F185" s="3"/>
      <c r="H185" s="9"/>
      <c r="I185" s="9"/>
    </row>
    <row r="186" spans="2:9" ht="18.75" customHeight="1" x14ac:dyDescent="0.25">
      <c r="B186" s="15"/>
      <c r="C186" s="3"/>
      <c r="D186" s="3"/>
      <c r="E186" s="3"/>
      <c r="F186" s="3"/>
      <c r="H186" s="9"/>
      <c r="I186" s="9"/>
    </row>
    <row r="187" spans="2:9" ht="18.75" customHeight="1" x14ac:dyDescent="0.25">
      <c r="B187" s="15"/>
      <c r="C187" s="3"/>
      <c r="D187" s="3"/>
      <c r="E187" s="3"/>
      <c r="F187" s="3"/>
      <c r="H187" s="9"/>
      <c r="I187" s="9"/>
    </row>
    <row r="188" spans="2:9" ht="18.75" customHeight="1" x14ac:dyDescent="0.25">
      <c r="B188" s="15"/>
      <c r="C188" s="3"/>
      <c r="D188" s="3"/>
      <c r="E188" s="3"/>
      <c r="F188" s="3"/>
      <c r="H188" s="9"/>
      <c r="I188" s="9"/>
    </row>
    <row r="189" spans="2:9" ht="18.75" customHeight="1" x14ac:dyDescent="0.25">
      <c r="B189" s="15"/>
      <c r="C189" s="3"/>
      <c r="D189" s="3"/>
      <c r="E189" s="3"/>
      <c r="F189" s="3"/>
      <c r="H189" s="9"/>
      <c r="I189" s="9"/>
    </row>
    <row r="190" spans="2:9" ht="18.75" customHeight="1" x14ac:dyDescent="0.25">
      <c r="B190" s="15"/>
      <c r="C190" s="3"/>
      <c r="D190" s="3"/>
      <c r="E190" s="3"/>
      <c r="F190" s="3"/>
      <c r="H190" s="9"/>
      <c r="I190" s="9"/>
    </row>
    <row r="191" spans="2:9" ht="18.75" customHeight="1" x14ac:dyDescent="0.25">
      <c r="B191" s="15"/>
      <c r="C191" s="3"/>
      <c r="D191" s="3"/>
      <c r="E191" s="3"/>
      <c r="F191" s="3"/>
      <c r="H191" s="9"/>
      <c r="I191" s="9"/>
    </row>
    <row r="192" spans="2:9" ht="18.75" customHeight="1" x14ac:dyDescent="0.25">
      <c r="B192" s="15"/>
      <c r="C192" s="3"/>
      <c r="D192" s="3"/>
      <c r="E192" s="3"/>
      <c r="F192" s="3"/>
      <c r="H192" s="9"/>
      <c r="I192" s="9"/>
    </row>
    <row r="193" spans="2:9" ht="18.75" customHeight="1" x14ac:dyDescent="0.25">
      <c r="B193" s="15"/>
      <c r="C193" s="3"/>
      <c r="D193" s="3"/>
      <c r="E193" s="3"/>
      <c r="F193" s="3"/>
      <c r="H193" s="9"/>
      <c r="I193" s="9"/>
    </row>
    <row r="194" spans="2:9" ht="18.75" customHeight="1" x14ac:dyDescent="0.25">
      <c r="B194" s="15"/>
      <c r="C194" s="3"/>
      <c r="D194" s="3"/>
      <c r="E194" s="3"/>
      <c r="F194" s="3"/>
      <c r="H194" s="9"/>
      <c r="I194" s="9"/>
    </row>
    <row r="195" spans="2:9" ht="18.75" customHeight="1" x14ac:dyDescent="0.25">
      <c r="B195" s="15"/>
      <c r="C195" s="3"/>
      <c r="D195" s="3"/>
      <c r="E195" s="3"/>
      <c r="F195" s="3"/>
      <c r="H195" s="9"/>
      <c r="I195" s="9"/>
    </row>
    <row r="196" spans="2:9" ht="18.75" customHeight="1" x14ac:dyDescent="0.25">
      <c r="B196" s="15"/>
      <c r="C196" s="3"/>
      <c r="D196" s="3"/>
      <c r="E196" s="3"/>
      <c r="F196" s="3"/>
      <c r="H196" s="9"/>
      <c r="I196" s="9"/>
    </row>
    <row r="197" spans="2:9" ht="18.75" customHeight="1" x14ac:dyDescent="0.25">
      <c r="B197" s="15"/>
      <c r="C197" s="3"/>
      <c r="D197" s="3"/>
      <c r="E197" s="3"/>
      <c r="F197" s="3"/>
      <c r="H197" s="9"/>
      <c r="I197" s="9"/>
    </row>
    <row r="198" spans="2:9" ht="18.75" customHeight="1" x14ac:dyDescent="0.25">
      <c r="B198" s="15"/>
      <c r="C198" s="3"/>
      <c r="D198" s="3"/>
      <c r="E198" s="3"/>
      <c r="F198" s="3"/>
      <c r="H198" s="9"/>
      <c r="I198" s="9"/>
    </row>
    <row r="199" spans="2:9" ht="18.75" customHeight="1" x14ac:dyDescent="0.25">
      <c r="B199" s="15"/>
      <c r="C199" s="3"/>
      <c r="D199" s="3"/>
      <c r="E199" s="3"/>
      <c r="F199" s="3"/>
      <c r="H199" s="9"/>
      <c r="I199" s="9"/>
    </row>
    <row r="200" spans="2:9" ht="18.75" customHeight="1" x14ac:dyDescent="0.25">
      <c r="B200" s="15"/>
      <c r="C200" s="3"/>
      <c r="D200" s="3"/>
      <c r="E200" s="3"/>
      <c r="F200" s="3"/>
      <c r="H200" s="9"/>
      <c r="I200" s="9"/>
    </row>
    <row r="201" spans="2:9" ht="18.75" customHeight="1" x14ac:dyDescent="0.25">
      <c r="B201" s="15"/>
      <c r="C201" s="3"/>
      <c r="D201" s="3"/>
      <c r="E201" s="3"/>
      <c r="F201" s="3"/>
      <c r="H201" s="9"/>
      <c r="I201" s="9"/>
    </row>
    <row r="202" spans="2:9" ht="18.75" customHeight="1" x14ac:dyDescent="0.25">
      <c r="B202" s="15"/>
      <c r="C202" s="3"/>
      <c r="D202" s="3"/>
      <c r="E202" s="3"/>
      <c r="F202" s="3"/>
      <c r="H202" s="9"/>
      <c r="I202" s="9"/>
    </row>
    <row r="203" spans="2:9" ht="18.75" customHeight="1" x14ac:dyDescent="0.25">
      <c r="B203" s="15"/>
      <c r="C203" s="3"/>
      <c r="D203" s="3"/>
      <c r="E203" s="3"/>
      <c r="F203" s="3"/>
      <c r="H203" s="9"/>
      <c r="I203" s="9"/>
    </row>
    <row r="204" spans="2:9" ht="18.75" customHeight="1" x14ac:dyDescent="0.25">
      <c r="B204" s="15"/>
      <c r="C204" s="3"/>
      <c r="D204" s="3"/>
      <c r="E204" s="3"/>
      <c r="F204" s="3"/>
      <c r="H204" s="9"/>
      <c r="I204" s="9"/>
    </row>
    <row r="205" spans="2:9" ht="18.75" customHeight="1" x14ac:dyDescent="0.25">
      <c r="B205" s="15"/>
      <c r="C205" s="3"/>
      <c r="D205" s="3"/>
      <c r="E205" s="3"/>
      <c r="F205" s="3"/>
      <c r="H205" s="9"/>
      <c r="I205" s="9"/>
    </row>
    <row r="206" spans="2:9" ht="18.75" customHeight="1" x14ac:dyDescent="0.25">
      <c r="B206" s="15"/>
      <c r="C206" s="3"/>
      <c r="D206" s="3"/>
      <c r="E206" s="3"/>
      <c r="F206" s="3"/>
      <c r="H206" s="9"/>
      <c r="I206" s="9"/>
    </row>
    <row r="207" spans="2:9" ht="18.75" customHeight="1" x14ac:dyDescent="0.25">
      <c r="B207" s="15"/>
      <c r="C207" s="3"/>
      <c r="D207" s="3"/>
      <c r="E207" s="3"/>
      <c r="F207" s="3"/>
      <c r="H207" s="9"/>
      <c r="I207" s="9"/>
    </row>
    <row r="208" spans="2:9" ht="18.75" customHeight="1" x14ac:dyDescent="0.25">
      <c r="B208" s="15"/>
      <c r="C208" s="3"/>
      <c r="D208" s="3"/>
      <c r="E208" s="3"/>
      <c r="F208" s="3"/>
      <c r="H208" s="9"/>
      <c r="I208" s="9"/>
    </row>
    <row r="209" spans="2:9" ht="18.75" customHeight="1" x14ac:dyDescent="0.25">
      <c r="B209" s="15"/>
      <c r="C209" s="3"/>
      <c r="D209" s="3"/>
      <c r="E209" s="3"/>
      <c r="F209" s="3"/>
      <c r="H209" s="9"/>
      <c r="I209" s="9"/>
    </row>
    <row r="210" spans="2:9" ht="18.75" customHeight="1" x14ac:dyDescent="0.25">
      <c r="B210" s="15"/>
      <c r="C210" s="3"/>
      <c r="D210" s="3"/>
      <c r="E210" s="3"/>
      <c r="F210" s="3"/>
      <c r="H210" s="9"/>
      <c r="I210" s="9"/>
    </row>
    <row r="211" spans="2:9" ht="18.75" customHeight="1" x14ac:dyDescent="0.25">
      <c r="B211" s="15"/>
      <c r="C211" s="3"/>
      <c r="D211" s="3"/>
      <c r="E211" s="3"/>
      <c r="F211" s="3"/>
      <c r="H211" s="9"/>
      <c r="I211" s="9"/>
    </row>
    <row r="212" spans="2:9" ht="18.75" customHeight="1" x14ac:dyDescent="0.25">
      <c r="B212" s="15"/>
      <c r="C212" s="3"/>
      <c r="D212" s="3"/>
      <c r="E212" s="3"/>
      <c r="F212" s="3"/>
      <c r="H212" s="9"/>
      <c r="I212" s="9"/>
    </row>
    <row r="213" spans="2:9" ht="18.75" customHeight="1" x14ac:dyDescent="0.25">
      <c r="B213" s="15"/>
      <c r="C213" s="3"/>
      <c r="D213" s="3"/>
      <c r="E213" s="3"/>
      <c r="F213" s="3"/>
      <c r="H213" s="9"/>
      <c r="I213" s="9"/>
    </row>
    <row r="214" spans="2:9" ht="18.75" customHeight="1" x14ac:dyDescent="0.25">
      <c r="B214" s="15"/>
      <c r="C214" s="3"/>
      <c r="D214" s="3"/>
      <c r="E214" s="3"/>
      <c r="F214" s="3"/>
      <c r="H214" s="9"/>
      <c r="I214" s="9"/>
    </row>
    <row r="215" spans="2:9" ht="18.75" customHeight="1" x14ac:dyDescent="0.25">
      <c r="B215" s="15"/>
      <c r="C215" s="3"/>
      <c r="D215" s="3"/>
      <c r="E215" s="3"/>
      <c r="F215" s="3"/>
      <c r="H215" s="9"/>
      <c r="I215" s="9"/>
    </row>
    <row r="216" spans="2:9" ht="18.75" customHeight="1" x14ac:dyDescent="0.25">
      <c r="B216" s="15"/>
      <c r="C216" s="3"/>
      <c r="D216" s="3"/>
      <c r="E216" s="3"/>
      <c r="F216" s="3"/>
      <c r="H216" s="9"/>
      <c r="I216" s="9"/>
    </row>
    <row r="217" spans="2:9" ht="18.75" customHeight="1" x14ac:dyDescent="0.25">
      <c r="B217" s="15"/>
      <c r="C217" s="3"/>
      <c r="D217" s="3"/>
      <c r="E217" s="3"/>
      <c r="F217" s="3"/>
      <c r="H217" s="9"/>
      <c r="I217" s="9"/>
    </row>
    <row r="218" spans="2:9" ht="18.75" customHeight="1" x14ac:dyDescent="0.25">
      <c r="B218" s="15"/>
      <c r="C218" s="3"/>
      <c r="D218" s="3"/>
      <c r="E218" s="3"/>
      <c r="F218" s="3"/>
      <c r="H218" s="9"/>
      <c r="I218" s="9"/>
    </row>
    <row r="219" spans="2:9" ht="18.75" customHeight="1" x14ac:dyDescent="0.25">
      <c r="B219" s="15"/>
      <c r="C219" s="3"/>
      <c r="D219" s="3"/>
      <c r="E219" s="3"/>
      <c r="F219" s="3"/>
      <c r="H219" s="9"/>
      <c r="I219" s="9"/>
    </row>
    <row r="220" spans="2:9" ht="18.75" customHeight="1" x14ac:dyDescent="0.25">
      <c r="B220" s="15"/>
      <c r="C220" s="3"/>
      <c r="D220" s="3"/>
      <c r="E220" s="3"/>
      <c r="F220" s="3"/>
      <c r="H220" s="9"/>
      <c r="I220" s="9"/>
    </row>
    <row r="221" spans="2:9" ht="18.75" customHeight="1" x14ac:dyDescent="0.25">
      <c r="B221" s="15"/>
      <c r="C221" s="3"/>
      <c r="D221" s="3"/>
      <c r="E221" s="3"/>
      <c r="F221" s="3"/>
      <c r="H221" s="9"/>
      <c r="I221" s="9"/>
    </row>
    <row r="222" spans="2:9" ht="18.75" customHeight="1" x14ac:dyDescent="0.25">
      <c r="B222" s="15"/>
      <c r="C222" s="3"/>
      <c r="D222" s="3"/>
      <c r="E222" s="3"/>
      <c r="F222" s="3"/>
      <c r="H222" s="9"/>
      <c r="I222" s="9"/>
    </row>
    <row r="223" spans="2:9" ht="18.75" customHeight="1" x14ac:dyDescent="0.25">
      <c r="B223" s="15"/>
      <c r="C223" s="3"/>
      <c r="D223" s="3"/>
      <c r="E223" s="3"/>
      <c r="F223" s="3"/>
      <c r="H223" s="9"/>
      <c r="I223" s="9"/>
    </row>
    <row r="224" spans="2:9" ht="18.75" customHeight="1" x14ac:dyDescent="0.25">
      <c r="B224" s="15"/>
      <c r="C224" s="3"/>
      <c r="D224" s="3"/>
      <c r="E224" s="3"/>
      <c r="F224" s="3"/>
      <c r="H224" s="9"/>
      <c r="I224" s="9"/>
    </row>
    <row r="225" spans="2:9" ht="18.75" customHeight="1" x14ac:dyDescent="0.25">
      <c r="B225" s="15"/>
      <c r="C225" s="3"/>
      <c r="D225" s="3"/>
      <c r="E225" s="3"/>
      <c r="F225" s="3"/>
      <c r="H225" s="9"/>
      <c r="I225" s="9"/>
    </row>
    <row r="226" spans="2:9" ht="18.75" customHeight="1" x14ac:dyDescent="0.25">
      <c r="B226" s="15"/>
      <c r="C226" s="3"/>
      <c r="D226" s="3"/>
      <c r="E226" s="3"/>
      <c r="F226" s="3"/>
      <c r="H226" s="9"/>
      <c r="I226" s="9"/>
    </row>
    <row r="227" spans="2:9" ht="18.75" customHeight="1" x14ac:dyDescent="0.25">
      <c r="B227" s="15"/>
      <c r="C227" s="3"/>
      <c r="D227" s="3"/>
      <c r="E227" s="3"/>
      <c r="F227" s="3"/>
      <c r="H227" s="9"/>
      <c r="I227" s="9"/>
    </row>
    <row r="228" spans="2:9" ht="18.75" customHeight="1" x14ac:dyDescent="0.25">
      <c r="B228" s="15"/>
      <c r="C228" s="3"/>
      <c r="D228" s="3"/>
      <c r="E228" s="3"/>
      <c r="F228" s="3"/>
      <c r="H228" s="9"/>
      <c r="I228" s="9"/>
    </row>
    <row r="229" spans="2:9" ht="18.75" customHeight="1" x14ac:dyDescent="0.25">
      <c r="B229" s="15"/>
      <c r="C229" s="3"/>
      <c r="D229" s="3"/>
      <c r="E229" s="3"/>
      <c r="F229" s="3"/>
      <c r="H229" s="9"/>
      <c r="I229" s="9"/>
    </row>
    <row r="230" spans="2:9" ht="18.75" customHeight="1" x14ac:dyDescent="0.25">
      <c r="B230" s="15"/>
      <c r="C230" s="3"/>
      <c r="D230" s="3"/>
      <c r="E230" s="3"/>
      <c r="F230" s="3"/>
      <c r="H230" s="9"/>
      <c r="I230" s="9"/>
    </row>
    <row r="231" spans="2:9" ht="18.75" customHeight="1" x14ac:dyDescent="0.25">
      <c r="B231" s="15"/>
      <c r="C231" s="3"/>
      <c r="D231" s="3"/>
      <c r="E231" s="3"/>
      <c r="F231" s="3"/>
      <c r="H231" s="9"/>
      <c r="I231" s="9"/>
    </row>
    <row r="232" spans="2:9" ht="18.75" customHeight="1" x14ac:dyDescent="0.25">
      <c r="B232" s="15"/>
      <c r="C232" s="3"/>
      <c r="D232" s="3"/>
      <c r="E232" s="3"/>
      <c r="F232" s="3"/>
      <c r="H232" s="9"/>
      <c r="I232" s="9"/>
    </row>
    <row r="233" spans="2:9" ht="18.75" customHeight="1" x14ac:dyDescent="0.25">
      <c r="B233" s="15"/>
      <c r="C233" s="3"/>
      <c r="D233" s="3"/>
      <c r="E233" s="3"/>
      <c r="F233" s="3"/>
      <c r="H233" s="9"/>
      <c r="I233" s="9"/>
    </row>
    <row r="234" spans="2:9" ht="18.75" customHeight="1" x14ac:dyDescent="0.25">
      <c r="B234" s="15"/>
      <c r="C234" s="3"/>
      <c r="D234" s="3"/>
      <c r="E234" s="3"/>
      <c r="F234" s="3"/>
      <c r="H234" s="9"/>
      <c r="I234" s="9"/>
    </row>
    <row r="235" spans="2:9" ht="18.75" customHeight="1" x14ac:dyDescent="0.25">
      <c r="B235" s="15"/>
      <c r="C235" s="3"/>
      <c r="D235" s="3"/>
      <c r="E235" s="3"/>
      <c r="F235" s="3"/>
      <c r="H235" s="9"/>
      <c r="I235" s="9"/>
    </row>
    <row r="236" spans="2:9" ht="18.75" customHeight="1" x14ac:dyDescent="0.25">
      <c r="B236" s="15"/>
      <c r="C236" s="3"/>
      <c r="D236" s="3"/>
      <c r="E236" s="3"/>
      <c r="F236" s="3"/>
      <c r="H236" s="9"/>
      <c r="I236" s="9"/>
    </row>
    <row r="237" spans="2:9" ht="18.75" customHeight="1" x14ac:dyDescent="0.25">
      <c r="B237" s="15"/>
      <c r="C237" s="3"/>
      <c r="D237" s="3"/>
      <c r="E237" s="3"/>
      <c r="F237" s="3"/>
      <c r="H237" s="9"/>
      <c r="I237" s="9"/>
    </row>
    <row r="238" spans="2:9" ht="18.75" customHeight="1" x14ac:dyDescent="0.25">
      <c r="B238" s="15"/>
      <c r="C238" s="3"/>
      <c r="D238" s="3"/>
      <c r="E238" s="3"/>
      <c r="F238" s="3"/>
      <c r="H238" s="9"/>
      <c r="I238" s="9"/>
    </row>
    <row r="239" spans="2:9" ht="18.75" customHeight="1" x14ac:dyDescent="0.25">
      <c r="B239" s="15"/>
      <c r="C239" s="3"/>
      <c r="D239" s="3"/>
      <c r="E239" s="3"/>
      <c r="F239" s="3"/>
      <c r="H239" s="9"/>
      <c r="I239" s="9"/>
    </row>
    <row r="240" spans="2:9" ht="18.75" customHeight="1" x14ac:dyDescent="0.25">
      <c r="B240" s="15"/>
      <c r="C240" s="3"/>
      <c r="D240" s="3"/>
      <c r="E240" s="3"/>
      <c r="F240" s="3"/>
      <c r="H240" s="9"/>
      <c r="I240" s="9"/>
    </row>
    <row r="241" spans="2:9" ht="18.75" customHeight="1" x14ac:dyDescent="0.25">
      <c r="B241" s="15"/>
      <c r="C241" s="3"/>
      <c r="D241" s="3"/>
      <c r="E241" s="3"/>
      <c r="F241" s="3"/>
      <c r="H241" s="9"/>
      <c r="I241" s="9"/>
    </row>
    <row r="242" spans="2:9" ht="18.75" customHeight="1" x14ac:dyDescent="0.25">
      <c r="B242" s="15"/>
      <c r="C242" s="3"/>
      <c r="D242" s="3"/>
      <c r="E242" s="3"/>
      <c r="F242" s="3"/>
      <c r="H242" s="9"/>
      <c r="I242" s="9"/>
    </row>
    <row r="243" spans="2:9" ht="18.75" customHeight="1" x14ac:dyDescent="0.25">
      <c r="B243" s="15"/>
      <c r="C243" s="3"/>
      <c r="D243" s="3"/>
      <c r="E243" s="3"/>
      <c r="F243" s="3"/>
      <c r="H243" s="9"/>
      <c r="I243" s="9"/>
    </row>
    <row r="244" spans="2:9" ht="18.75" customHeight="1" x14ac:dyDescent="0.25">
      <c r="B244" s="15"/>
      <c r="C244" s="3"/>
      <c r="D244" s="3"/>
      <c r="E244" s="3"/>
      <c r="F244" s="3"/>
      <c r="H244" s="9"/>
      <c r="I244" s="9"/>
    </row>
    <row r="245" spans="2:9" ht="18.75" customHeight="1" x14ac:dyDescent="0.25">
      <c r="B245" s="15"/>
      <c r="C245" s="3"/>
      <c r="D245" s="3"/>
      <c r="E245" s="3"/>
      <c r="F245" s="3"/>
      <c r="H245" s="9"/>
      <c r="I245" s="9"/>
    </row>
    <row r="246" spans="2:9" ht="18.75" customHeight="1" x14ac:dyDescent="0.25">
      <c r="B246" s="15"/>
      <c r="C246" s="3"/>
      <c r="D246" s="3"/>
      <c r="E246" s="3"/>
      <c r="F246" s="3"/>
      <c r="H246" s="9"/>
      <c r="I246" s="9"/>
    </row>
    <row r="247" spans="2:9" ht="18.75" customHeight="1" x14ac:dyDescent="0.25">
      <c r="B247" s="15"/>
      <c r="C247" s="3"/>
      <c r="D247" s="3"/>
      <c r="E247" s="3"/>
      <c r="F247" s="3"/>
      <c r="H247" s="9"/>
      <c r="I247" s="9"/>
    </row>
    <row r="248" spans="2:9" ht="18.75" customHeight="1" x14ac:dyDescent="0.25">
      <c r="B248" s="15"/>
      <c r="C248" s="3"/>
      <c r="D248" s="3"/>
      <c r="E248" s="3"/>
      <c r="F248" s="3"/>
      <c r="H248" s="9"/>
      <c r="I248" s="9"/>
    </row>
    <row r="249" spans="2:9" ht="18.75" customHeight="1" x14ac:dyDescent="0.25">
      <c r="B249" s="15"/>
      <c r="C249" s="3"/>
      <c r="D249" s="3"/>
      <c r="E249" s="3"/>
      <c r="F249" s="3"/>
      <c r="H249" s="9"/>
      <c r="I249" s="9"/>
    </row>
    <row r="250" spans="2:9" ht="18.75" customHeight="1" x14ac:dyDescent="0.25">
      <c r="B250" s="15"/>
      <c r="C250" s="3"/>
      <c r="D250" s="3"/>
      <c r="E250" s="3"/>
      <c r="F250" s="3"/>
      <c r="H250" s="9"/>
      <c r="I250" s="9"/>
    </row>
    <row r="251" spans="2:9" ht="18.75" customHeight="1" x14ac:dyDescent="0.25">
      <c r="B251" s="15"/>
      <c r="C251" s="3"/>
      <c r="D251" s="3"/>
      <c r="E251" s="3"/>
      <c r="F251" s="3"/>
      <c r="H251" s="9"/>
      <c r="I251" s="9"/>
    </row>
    <row r="252" spans="2:9" ht="18.75" customHeight="1" x14ac:dyDescent="0.25">
      <c r="B252" s="15"/>
      <c r="C252" s="3"/>
      <c r="D252" s="3"/>
      <c r="E252" s="3"/>
      <c r="F252" s="3"/>
      <c r="H252" s="9"/>
      <c r="I252" s="9"/>
    </row>
    <row r="253" spans="2:9" ht="18.75" customHeight="1" x14ac:dyDescent="0.25">
      <c r="B253" s="15"/>
      <c r="C253" s="3"/>
      <c r="D253" s="3"/>
      <c r="E253" s="3"/>
      <c r="F253" s="3"/>
      <c r="H253" s="9"/>
      <c r="I253" s="9"/>
    </row>
    <row r="254" spans="2:9" ht="18.75" customHeight="1" x14ac:dyDescent="0.25">
      <c r="B254" s="15"/>
      <c r="C254" s="3"/>
      <c r="D254" s="3"/>
      <c r="E254" s="3"/>
      <c r="F254" s="3"/>
      <c r="H254" s="9"/>
      <c r="I254" s="9"/>
    </row>
    <row r="255" spans="2:9" ht="18.75" customHeight="1" x14ac:dyDescent="0.25">
      <c r="B255" s="15"/>
      <c r="C255" s="3"/>
      <c r="D255" s="3"/>
      <c r="E255" s="3"/>
      <c r="F255" s="3"/>
      <c r="H255" s="9"/>
      <c r="I255" s="9"/>
    </row>
    <row r="256" spans="2:9" ht="18.75" customHeight="1" x14ac:dyDescent="0.25">
      <c r="B256" s="15"/>
      <c r="C256" s="3"/>
      <c r="D256" s="3"/>
      <c r="E256" s="3"/>
      <c r="F256" s="3"/>
      <c r="H256" s="9"/>
      <c r="I256" s="9"/>
    </row>
    <row r="257" spans="2:9" ht="18.75" customHeight="1" x14ac:dyDescent="0.25">
      <c r="B257" s="15"/>
      <c r="C257" s="3"/>
      <c r="D257" s="3"/>
      <c r="E257" s="3"/>
      <c r="F257" s="3"/>
      <c r="H257" s="9"/>
      <c r="I257" s="9"/>
    </row>
    <row r="258" spans="2:9" ht="18.75" customHeight="1" x14ac:dyDescent="0.25">
      <c r="B258" s="15"/>
      <c r="C258" s="3"/>
      <c r="D258" s="3"/>
      <c r="E258" s="3"/>
      <c r="F258" s="3"/>
      <c r="H258" s="9"/>
      <c r="I258" s="9"/>
    </row>
    <row r="259" spans="2:9" ht="18.75" customHeight="1" x14ac:dyDescent="0.25">
      <c r="B259" s="15"/>
      <c r="C259" s="3"/>
      <c r="D259" s="3"/>
      <c r="E259" s="3"/>
      <c r="F259" s="3"/>
      <c r="H259" s="9"/>
      <c r="I259" s="9"/>
    </row>
    <row r="260" spans="2:9" ht="18.75" customHeight="1" x14ac:dyDescent="0.25">
      <c r="B260" s="15"/>
      <c r="C260" s="3"/>
      <c r="D260" s="3"/>
      <c r="E260" s="3"/>
      <c r="F260" s="3"/>
      <c r="H260" s="9"/>
      <c r="I260" s="9"/>
    </row>
    <row r="261" spans="2:9" ht="18.75" customHeight="1" x14ac:dyDescent="0.25">
      <c r="B261" s="15"/>
      <c r="C261" s="3"/>
      <c r="D261" s="3"/>
      <c r="E261" s="3"/>
      <c r="F261" s="3"/>
      <c r="H261" s="9"/>
      <c r="I261" s="9"/>
    </row>
    <row r="262" spans="2:9" ht="18.75" customHeight="1" x14ac:dyDescent="0.25">
      <c r="B262" s="15"/>
      <c r="C262" s="3"/>
      <c r="D262" s="3"/>
      <c r="E262" s="3"/>
      <c r="F262" s="3"/>
      <c r="H262" s="9"/>
      <c r="I262" s="9"/>
    </row>
    <row r="263" spans="2:9" ht="18.75" customHeight="1" x14ac:dyDescent="0.25">
      <c r="B263" s="15"/>
      <c r="C263" s="3"/>
      <c r="D263" s="3"/>
      <c r="E263" s="3"/>
      <c r="F263" s="3"/>
      <c r="H263" s="9"/>
      <c r="I263" s="9"/>
    </row>
    <row r="264" spans="2:9" ht="18.75" customHeight="1" x14ac:dyDescent="0.25">
      <c r="B264" s="15"/>
      <c r="C264" s="3"/>
      <c r="D264" s="3"/>
      <c r="E264" s="3"/>
      <c r="F264" s="3"/>
      <c r="H264" s="9"/>
      <c r="I264" s="9"/>
    </row>
    <row r="265" spans="2:9" ht="18.75" customHeight="1" x14ac:dyDescent="0.25">
      <c r="B265" s="15"/>
      <c r="C265" s="3"/>
      <c r="D265" s="3"/>
      <c r="E265" s="3"/>
      <c r="F265" s="3"/>
      <c r="H265" s="9"/>
      <c r="I265" s="9"/>
    </row>
    <row r="266" spans="2:9" ht="18.75" customHeight="1" x14ac:dyDescent="0.25">
      <c r="B266" s="15"/>
      <c r="C266" s="3"/>
      <c r="D266" s="3"/>
      <c r="E266" s="3"/>
      <c r="F266" s="3"/>
      <c r="H266" s="9"/>
      <c r="I266" s="9"/>
    </row>
    <row r="267" spans="2:9" ht="18.75" customHeight="1" x14ac:dyDescent="0.25">
      <c r="B267" s="15"/>
      <c r="C267" s="3"/>
      <c r="D267" s="3"/>
      <c r="E267" s="3"/>
      <c r="F267" s="3"/>
      <c r="H267" s="9"/>
      <c r="I267" s="9"/>
    </row>
    <row r="268" spans="2:9" ht="18.75" customHeight="1" x14ac:dyDescent="0.25">
      <c r="B268" s="15"/>
      <c r="C268" s="3"/>
      <c r="D268" s="3"/>
      <c r="E268" s="3"/>
      <c r="F268" s="3"/>
      <c r="H268" s="9"/>
      <c r="I268" s="9"/>
    </row>
    <row r="269" spans="2:9" ht="18.75" customHeight="1" x14ac:dyDescent="0.25">
      <c r="B269" s="15"/>
      <c r="C269" s="3"/>
      <c r="D269" s="3"/>
      <c r="E269" s="3"/>
      <c r="F269" s="3"/>
      <c r="H269" s="9"/>
      <c r="I269" s="9"/>
    </row>
    <row r="270" spans="2:9" ht="18.75" customHeight="1" x14ac:dyDescent="0.25">
      <c r="B270" s="15"/>
      <c r="C270" s="3"/>
      <c r="D270" s="3"/>
      <c r="E270" s="3"/>
      <c r="F270" s="3"/>
      <c r="H270" s="9"/>
      <c r="I270" s="9"/>
    </row>
    <row r="271" spans="2:9" ht="18.75" customHeight="1" x14ac:dyDescent="0.25">
      <c r="B271" s="15"/>
      <c r="C271" s="3"/>
      <c r="D271" s="3"/>
      <c r="E271" s="3"/>
      <c r="F271" s="3"/>
      <c r="H271" s="9"/>
      <c r="I271" s="9"/>
    </row>
    <row r="272" spans="2:9" ht="18.75" customHeight="1" x14ac:dyDescent="0.25">
      <c r="B272" s="15"/>
      <c r="C272" s="3"/>
      <c r="D272" s="3"/>
      <c r="E272" s="3"/>
      <c r="F272" s="3"/>
      <c r="H272" s="9"/>
      <c r="I272" s="9"/>
    </row>
    <row r="273" spans="2:9" ht="18.75" customHeight="1" x14ac:dyDescent="0.25">
      <c r="B273" s="15"/>
      <c r="C273" s="3"/>
      <c r="D273" s="3"/>
      <c r="E273" s="3"/>
      <c r="F273" s="3"/>
      <c r="H273" s="9"/>
      <c r="I273" s="9"/>
    </row>
    <row r="274" spans="2:9" ht="18.75" customHeight="1" x14ac:dyDescent="0.25">
      <c r="B274" s="15"/>
      <c r="C274" s="3"/>
      <c r="D274" s="3"/>
      <c r="E274" s="3"/>
      <c r="F274" s="3"/>
      <c r="H274" s="9"/>
      <c r="I274" s="9"/>
    </row>
    <row r="275" spans="2:9" ht="18.75" customHeight="1" x14ac:dyDescent="0.25">
      <c r="B275" s="15"/>
      <c r="C275" s="3"/>
      <c r="D275" s="3"/>
      <c r="E275" s="3"/>
      <c r="F275" s="3"/>
      <c r="H275" s="9"/>
      <c r="I275" s="9"/>
    </row>
    <row r="276" spans="2:9" ht="18.75" customHeight="1" x14ac:dyDescent="0.25">
      <c r="B276" s="15"/>
      <c r="C276" s="3"/>
      <c r="D276" s="3"/>
      <c r="E276" s="3"/>
      <c r="F276" s="3"/>
      <c r="H276" s="9"/>
      <c r="I276" s="9"/>
    </row>
    <row r="277" spans="2:9" ht="18.75" customHeight="1" x14ac:dyDescent="0.25">
      <c r="B277" s="15"/>
      <c r="C277" s="3"/>
      <c r="D277" s="3"/>
      <c r="E277" s="3"/>
      <c r="F277" s="3"/>
      <c r="H277" s="9"/>
      <c r="I277" s="9"/>
    </row>
    <row r="278" spans="2:9" ht="18.75" customHeight="1" x14ac:dyDescent="0.25">
      <c r="B278" s="15"/>
      <c r="C278" s="3"/>
      <c r="D278" s="3"/>
      <c r="E278" s="3"/>
      <c r="F278" s="3"/>
      <c r="H278" s="9"/>
      <c r="I278" s="9"/>
    </row>
    <row r="279" spans="2:9" ht="18.75" customHeight="1" x14ac:dyDescent="0.25">
      <c r="B279" s="15"/>
      <c r="C279" s="3"/>
      <c r="D279" s="3"/>
      <c r="E279" s="3"/>
      <c r="F279" s="3"/>
      <c r="H279" s="9"/>
      <c r="I279" s="9"/>
    </row>
    <row r="280" spans="2:9" ht="18.75" customHeight="1" x14ac:dyDescent="0.25">
      <c r="B280" s="15"/>
      <c r="C280" s="3"/>
      <c r="D280" s="3"/>
      <c r="E280" s="3"/>
      <c r="F280" s="3"/>
      <c r="H280" s="9"/>
      <c r="I280" s="9"/>
    </row>
    <row r="281" spans="2:9" ht="18.75" customHeight="1" x14ac:dyDescent="0.25">
      <c r="B281" s="15"/>
      <c r="C281" s="3"/>
      <c r="D281" s="3"/>
      <c r="E281" s="3"/>
      <c r="F281" s="3"/>
      <c r="H281" s="9"/>
      <c r="I281" s="9"/>
    </row>
    <row r="282" spans="2:9" ht="18.75" customHeight="1" x14ac:dyDescent="0.25">
      <c r="B282" s="15"/>
      <c r="C282" s="3"/>
      <c r="D282" s="3"/>
      <c r="E282" s="3"/>
      <c r="F282" s="3"/>
      <c r="H282" s="9"/>
      <c r="I282" s="9"/>
    </row>
    <row r="283" spans="2:9" ht="18.75" customHeight="1" x14ac:dyDescent="0.25">
      <c r="B283" s="15"/>
      <c r="C283" s="3"/>
      <c r="D283" s="3"/>
      <c r="E283" s="3"/>
      <c r="F283" s="3"/>
      <c r="H283" s="9"/>
      <c r="I283" s="9"/>
    </row>
    <row r="284" spans="2:9" ht="18.75" customHeight="1" x14ac:dyDescent="0.25">
      <c r="B284" s="15"/>
      <c r="C284" s="3"/>
      <c r="D284" s="3"/>
      <c r="E284" s="3"/>
      <c r="F284" s="3"/>
      <c r="H284" s="9"/>
      <c r="I284" s="9"/>
    </row>
    <row r="285" spans="2:9" ht="18.75" customHeight="1" x14ac:dyDescent="0.25">
      <c r="B285" s="15"/>
      <c r="C285" s="3"/>
      <c r="D285" s="3"/>
      <c r="E285" s="3"/>
      <c r="F285" s="3"/>
      <c r="H285" s="9"/>
      <c r="I285" s="9"/>
    </row>
    <row r="286" spans="2:9" ht="18.75" customHeight="1" x14ac:dyDescent="0.25">
      <c r="B286" s="15"/>
      <c r="C286" s="3"/>
      <c r="D286" s="3"/>
      <c r="E286" s="3"/>
      <c r="F286" s="3"/>
      <c r="H286" s="9"/>
      <c r="I286" s="9"/>
    </row>
    <row r="287" spans="2:9" ht="18.75" customHeight="1" x14ac:dyDescent="0.25">
      <c r="B287" s="15"/>
      <c r="C287" s="3"/>
      <c r="D287" s="3"/>
      <c r="E287" s="3"/>
      <c r="F287" s="3"/>
      <c r="H287" s="9"/>
      <c r="I287" s="9"/>
    </row>
    <row r="288" spans="2:9" ht="18.75" customHeight="1" x14ac:dyDescent="0.25">
      <c r="B288" s="15"/>
      <c r="C288" s="3"/>
      <c r="D288" s="3"/>
      <c r="E288" s="3"/>
      <c r="F288" s="3"/>
      <c r="H288" s="9"/>
      <c r="I288" s="9"/>
    </row>
    <row r="289" spans="2:9" ht="18.75" customHeight="1" x14ac:dyDescent="0.25">
      <c r="B289" s="15"/>
      <c r="C289" s="3"/>
      <c r="D289" s="3"/>
      <c r="E289" s="3"/>
      <c r="F289" s="3"/>
      <c r="H289" s="9"/>
      <c r="I289" s="9"/>
    </row>
    <row r="290" spans="2:9" ht="18.75" customHeight="1" x14ac:dyDescent="0.25">
      <c r="B290" s="15"/>
      <c r="C290" s="3"/>
      <c r="D290" s="3"/>
      <c r="E290" s="3"/>
      <c r="F290" s="3"/>
      <c r="H290" s="9"/>
      <c r="I290" s="9"/>
    </row>
    <row r="291" spans="2:9" ht="18.75" customHeight="1" x14ac:dyDescent="0.25">
      <c r="B291" s="15"/>
      <c r="C291" s="3"/>
      <c r="D291" s="3"/>
      <c r="E291" s="3"/>
      <c r="F291" s="3"/>
      <c r="H291" s="9"/>
      <c r="I291" s="9"/>
    </row>
    <row r="292" spans="2:9" ht="18.75" customHeight="1" x14ac:dyDescent="0.25">
      <c r="B292" s="15"/>
      <c r="C292" s="3"/>
      <c r="D292" s="3"/>
      <c r="E292" s="3"/>
      <c r="F292" s="3"/>
      <c r="H292" s="9"/>
      <c r="I292" s="9"/>
    </row>
    <row r="293" spans="2:9" ht="18.75" customHeight="1" x14ac:dyDescent="0.25">
      <c r="B293" s="15"/>
      <c r="C293" s="3"/>
      <c r="D293" s="3"/>
      <c r="E293" s="3"/>
      <c r="F293" s="3"/>
      <c r="H293" s="9"/>
      <c r="I293" s="9"/>
    </row>
    <row r="294" spans="2:9" ht="18.75" customHeight="1" x14ac:dyDescent="0.25">
      <c r="B294" s="15"/>
      <c r="C294" s="3"/>
      <c r="D294" s="3"/>
      <c r="E294" s="3"/>
      <c r="F294" s="3"/>
      <c r="H294" s="9"/>
      <c r="I294" s="9"/>
    </row>
    <row r="295" spans="2:9" ht="18.75" customHeight="1" x14ac:dyDescent="0.25">
      <c r="B295" s="15"/>
      <c r="C295" s="3"/>
      <c r="D295" s="3"/>
      <c r="E295" s="3"/>
      <c r="F295" s="3"/>
      <c r="H295" s="9"/>
      <c r="I295" s="9"/>
    </row>
    <row r="296" spans="2:9" ht="18.75" customHeight="1" x14ac:dyDescent="0.25">
      <c r="B296" s="15"/>
      <c r="C296" s="3"/>
      <c r="D296" s="3"/>
      <c r="E296" s="3"/>
      <c r="F296" s="3"/>
      <c r="H296" s="9"/>
      <c r="I296" s="9"/>
    </row>
    <row r="297" spans="2:9" ht="18.75" customHeight="1" x14ac:dyDescent="0.25">
      <c r="B297" s="15"/>
      <c r="C297" s="3"/>
      <c r="D297" s="3"/>
      <c r="E297" s="3"/>
      <c r="F297" s="3"/>
      <c r="H297" s="9"/>
      <c r="I297" s="9"/>
    </row>
    <row r="298" spans="2:9" ht="18.75" customHeight="1" x14ac:dyDescent="0.25">
      <c r="B298" s="15"/>
      <c r="C298" s="3"/>
      <c r="D298" s="3"/>
      <c r="E298" s="3"/>
      <c r="F298" s="3"/>
      <c r="H298" s="9"/>
      <c r="I298" s="9"/>
    </row>
    <row r="299" spans="2:9" ht="18.75" customHeight="1" x14ac:dyDescent="0.25">
      <c r="B299" s="15"/>
      <c r="C299" s="3"/>
      <c r="D299" s="3"/>
      <c r="E299" s="3"/>
      <c r="F299" s="3"/>
      <c r="H299" s="9"/>
      <c r="I299" s="9"/>
    </row>
    <row r="300" spans="2:9" ht="18.75" customHeight="1" x14ac:dyDescent="0.25">
      <c r="B300" s="15"/>
      <c r="C300" s="3"/>
      <c r="D300" s="3"/>
      <c r="E300" s="3"/>
      <c r="F300" s="3"/>
      <c r="H300" s="9"/>
      <c r="I300" s="9"/>
    </row>
    <row r="301" spans="2:9" ht="18.75" customHeight="1" x14ac:dyDescent="0.25">
      <c r="B301" s="15"/>
      <c r="C301" s="3"/>
      <c r="D301" s="3"/>
      <c r="E301" s="3"/>
      <c r="F301" s="3"/>
      <c r="H301" s="9"/>
      <c r="I301" s="9"/>
    </row>
    <row r="302" spans="2:9" ht="18.75" customHeight="1" x14ac:dyDescent="0.25">
      <c r="B302" s="15"/>
      <c r="C302" s="3"/>
      <c r="D302" s="3"/>
      <c r="E302" s="3"/>
      <c r="F302" s="3"/>
      <c r="H302" s="9"/>
      <c r="I302" s="9"/>
    </row>
    <row r="303" spans="2:9" ht="18.75" customHeight="1" x14ac:dyDescent="0.25">
      <c r="B303" s="15"/>
      <c r="C303" s="3"/>
      <c r="D303" s="3"/>
      <c r="E303" s="3"/>
      <c r="F303" s="3"/>
      <c r="H303" s="9"/>
      <c r="I303" s="9"/>
    </row>
    <row r="304" spans="2:9" ht="18.75" customHeight="1" x14ac:dyDescent="0.25">
      <c r="B304" s="15"/>
      <c r="C304" s="3"/>
      <c r="D304" s="3"/>
      <c r="E304" s="3"/>
      <c r="F304" s="3"/>
      <c r="H304" s="9"/>
      <c r="I304" s="9"/>
    </row>
    <row r="305" spans="2:9" ht="18.75" customHeight="1" x14ac:dyDescent="0.25">
      <c r="B305" s="15"/>
      <c r="C305" s="3"/>
      <c r="D305" s="3"/>
      <c r="E305" s="3"/>
      <c r="F305" s="3"/>
      <c r="H305" s="9"/>
      <c r="I305" s="9"/>
    </row>
    <row r="306" spans="2:9" ht="18.75" customHeight="1" x14ac:dyDescent="0.25">
      <c r="B306" s="15"/>
      <c r="C306" s="3"/>
      <c r="D306" s="3"/>
      <c r="E306" s="3"/>
      <c r="F306" s="3"/>
      <c r="H306" s="9"/>
      <c r="I306" s="9"/>
    </row>
    <row r="307" spans="2:9" ht="18.75" customHeight="1" x14ac:dyDescent="0.25">
      <c r="B307" s="15"/>
      <c r="C307" s="3"/>
      <c r="D307" s="3"/>
      <c r="E307" s="3"/>
      <c r="F307" s="3"/>
      <c r="H307" s="9"/>
      <c r="I307" s="9"/>
    </row>
    <row r="308" spans="2:9" ht="18.75" customHeight="1" x14ac:dyDescent="0.25">
      <c r="B308" s="15"/>
      <c r="C308" s="3"/>
      <c r="D308" s="3"/>
      <c r="E308" s="3"/>
      <c r="F308" s="3"/>
      <c r="H308" s="9"/>
      <c r="I308" s="9"/>
    </row>
    <row r="309" spans="2:9" ht="18.75" customHeight="1" x14ac:dyDescent="0.25">
      <c r="B309" s="15"/>
      <c r="C309" s="3"/>
      <c r="D309" s="3"/>
      <c r="E309" s="3"/>
      <c r="F309" s="3"/>
      <c r="H309" s="9"/>
      <c r="I309" s="9"/>
    </row>
    <row r="310" spans="2:9" ht="18.75" customHeight="1" x14ac:dyDescent="0.25">
      <c r="B310" s="15"/>
      <c r="C310" s="3"/>
      <c r="D310" s="3"/>
      <c r="E310" s="3"/>
      <c r="F310" s="3"/>
      <c r="H310" s="9"/>
      <c r="I310" s="9"/>
    </row>
    <row r="311" spans="2:9" ht="18.75" customHeight="1" x14ac:dyDescent="0.25">
      <c r="B311" s="15"/>
      <c r="C311" s="3"/>
      <c r="D311" s="3"/>
      <c r="E311" s="3"/>
      <c r="F311" s="3"/>
      <c r="H311" s="9"/>
      <c r="I311" s="9"/>
    </row>
    <row r="312" spans="2:9" ht="18.75" customHeight="1" x14ac:dyDescent="0.25">
      <c r="B312" s="15"/>
      <c r="C312" s="3"/>
      <c r="D312" s="3"/>
      <c r="E312" s="3"/>
      <c r="F312" s="3"/>
      <c r="H312" s="9"/>
      <c r="I312" s="9"/>
    </row>
    <row r="313" spans="2:9" ht="18.75" customHeight="1" x14ac:dyDescent="0.25">
      <c r="B313" s="15"/>
      <c r="C313" s="3"/>
      <c r="D313" s="3"/>
      <c r="E313" s="3"/>
      <c r="F313" s="3"/>
      <c r="H313" s="9"/>
      <c r="I313" s="9"/>
    </row>
    <row r="314" spans="2:9" ht="18.75" customHeight="1" x14ac:dyDescent="0.25">
      <c r="B314" s="15"/>
      <c r="C314" s="3"/>
      <c r="D314" s="3"/>
      <c r="E314" s="3"/>
      <c r="F314" s="3"/>
      <c r="H314" s="9"/>
      <c r="I314" s="9"/>
    </row>
    <row r="315" spans="2:9" ht="18.75" customHeight="1" x14ac:dyDescent="0.25">
      <c r="B315" s="15"/>
      <c r="C315" s="3"/>
      <c r="D315" s="3"/>
      <c r="E315" s="3"/>
      <c r="F315" s="3"/>
      <c r="H315" s="9"/>
      <c r="I315" s="9"/>
    </row>
    <row r="316" spans="2:9" ht="18.75" customHeight="1" x14ac:dyDescent="0.25">
      <c r="B316" s="15"/>
      <c r="C316" s="3"/>
      <c r="D316" s="3"/>
      <c r="E316" s="3"/>
      <c r="F316" s="3"/>
      <c r="H316" s="9"/>
      <c r="I316" s="9"/>
    </row>
    <row r="317" spans="2:9" ht="18.75" customHeight="1" x14ac:dyDescent="0.25">
      <c r="B317" s="15"/>
      <c r="C317" s="3"/>
      <c r="D317" s="3"/>
      <c r="E317" s="3"/>
      <c r="F317" s="3"/>
      <c r="H317" s="9"/>
      <c r="I317" s="9"/>
    </row>
    <row r="318" spans="2:9" ht="18.75" customHeight="1" x14ac:dyDescent="0.25">
      <c r="B318" s="15"/>
      <c r="C318" s="3"/>
      <c r="D318" s="3"/>
      <c r="E318" s="3"/>
      <c r="F318" s="3"/>
      <c r="H318" s="9"/>
      <c r="I318" s="9"/>
    </row>
    <row r="319" spans="2:9" ht="18.75" customHeight="1" x14ac:dyDescent="0.25">
      <c r="B319" s="15"/>
      <c r="C319" s="3"/>
      <c r="D319" s="3"/>
      <c r="E319" s="3"/>
      <c r="F319" s="3"/>
      <c r="H319" s="9"/>
      <c r="I319" s="9"/>
    </row>
    <row r="320" spans="2:9" ht="18.75" customHeight="1" x14ac:dyDescent="0.25">
      <c r="B320" s="15"/>
      <c r="C320" s="3"/>
      <c r="D320" s="3"/>
      <c r="E320" s="3"/>
      <c r="F320" s="3"/>
      <c r="H320" s="9"/>
      <c r="I320" s="9"/>
    </row>
    <row r="321" spans="2:9" ht="18.75" customHeight="1" x14ac:dyDescent="0.25">
      <c r="B321" s="15"/>
      <c r="C321" s="3"/>
      <c r="D321" s="3"/>
      <c r="E321" s="3"/>
      <c r="F321" s="3"/>
      <c r="H321" s="9"/>
      <c r="I321" s="9"/>
    </row>
    <row r="322" spans="2:9" ht="18.75" customHeight="1" x14ac:dyDescent="0.25">
      <c r="B322" s="15"/>
      <c r="C322" s="3"/>
      <c r="D322" s="3"/>
      <c r="E322" s="3"/>
      <c r="F322" s="3"/>
      <c r="H322" s="9"/>
      <c r="I322" s="9"/>
    </row>
    <row r="323" spans="2:9" ht="18.75" customHeight="1" x14ac:dyDescent="0.25">
      <c r="B323" s="15"/>
      <c r="C323" s="3"/>
      <c r="D323" s="3"/>
      <c r="E323" s="3"/>
      <c r="F323" s="3"/>
      <c r="H323" s="9"/>
      <c r="I323" s="9"/>
    </row>
    <row r="324" spans="2:9" ht="18.75" customHeight="1" x14ac:dyDescent="0.25">
      <c r="B324" s="15"/>
      <c r="C324" s="3"/>
      <c r="D324" s="3"/>
      <c r="E324" s="3"/>
      <c r="F324" s="3"/>
      <c r="H324" s="9"/>
      <c r="I324" s="9"/>
    </row>
    <row r="325" spans="2:9" ht="18.75" customHeight="1" x14ac:dyDescent="0.25">
      <c r="B325" s="15"/>
      <c r="C325" s="3"/>
      <c r="D325" s="3"/>
      <c r="E325" s="3"/>
      <c r="F325" s="3"/>
      <c r="H325" s="9"/>
      <c r="I325" s="9"/>
    </row>
    <row r="326" spans="2:9" ht="18.75" customHeight="1" x14ac:dyDescent="0.25">
      <c r="C326" s="3"/>
      <c r="D326" s="3"/>
      <c r="E326" s="3"/>
      <c r="F326" s="3"/>
    </row>
    <row r="327" spans="2:9" ht="18.75" customHeight="1" x14ac:dyDescent="0.25">
      <c r="C327" s="3"/>
      <c r="D327" s="3"/>
      <c r="E327" s="3"/>
      <c r="F327" s="3"/>
    </row>
    <row r="328" spans="2:9" ht="18.75" customHeight="1" x14ac:dyDescent="0.25">
      <c r="C328" s="3"/>
      <c r="D328" s="3"/>
      <c r="E328" s="3"/>
      <c r="F328" s="3"/>
    </row>
    <row r="329" spans="2:9" ht="18.75" customHeight="1" x14ac:dyDescent="0.25">
      <c r="C329" s="3"/>
      <c r="D329" s="3"/>
      <c r="E329" s="3"/>
      <c r="F329" s="3"/>
    </row>
    <row r="330" spans="2:9" ht="18.75" customHeight="1" x14ac:dyDescent="0.25">
      <c r="C330" s="3"/>
      <c r="D330" s="3"/>
      <c r="E330" s="3"/>
      <c r="F330" s="3"/>
    </row>
    <row r="331" spans="2:9" ht="18.75" customHeight="1" x14ac:dyDescent="0.25">
      <c r="C331" s="3"/>
      <c r="D331" s="3"/>
      <c r="E331" s="3"/>
      <c r="F3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242"/>
  <sheetViews>
    <sheetView workbookViewId="0">
      <selection activeCell="E27" sqref="E27"/>
    </sheetView>
  </sheetViews>
  <sheetFormatPr defaultColWidth="8.85546875" defaultRowHeight="15" x14ac:dyDescent="0.25"/>
  <cols>
    <col min="1" max="1" width="13.42578125" style="1" bestFit="1" customWidth="1"/>
    <col min="2" max="2" width="40.42578125" bestFit="1" customWidth="1"/>
    <col min="3" max="3" width="13.42578125" style="6" bestFit="1" customWidth="1"/>
    <col min="4" max="4" width="13.42578125" style="4" bestFit="1" customWidth="1"/>
    <col min="5" max="5" width="13.28515625" style="6" bestFit="1" customWidth="1"/>
    <col min="6" max="6" width="19.7109375" style="1" bestFit="1" customWidth="1"/>
    <col min="7" max="7" width="12.140625" style="1" bestFit="1" customWidth="1"/>
    <col min="8" max="8" width="17.42578125" style="6" bestFit="1" customWidth="1"/>
    <col min="9" max="9" width="19.28515625" style="6" bestFit="1" customWidth="1"/>
  </cols>
  <sheetData>
    <row r="1" spans="1:9" ht="18.75" customHeight="1" x14ac:dyDescent="0.25">
      <c r="B1" s="2" t="s">
        <v>9</v>
      </c>
      <c r="C1" s="3">
        <v>4.5</v>
      </c>
      <c r="D1" s="5" t="s">
        <v>10</v>
      </c>
    </row>
    <row r="2" spans="1:9" ht="18.75" customHeight="1" x14ac:dyDescent="0.25"/>
    <row r="3" spans="1:9" ht="18.75" customHeight="1" x14ac:dyDescent="0.25">
      <c r="A3" s="7" t="s">
        <v>11</v>
      </c>
      <c r="B3" s="8" t="s">
        <v>12</v>
      </c>
      <c r="C3" s="3" t="s">
        <v>2</v>
      </c>
      <c r="D3" s="3" t="s">
        <v>1</v>
      </c>
      <c r="E3" s="3" t="s">
        <v>6</v>
      </c>
      <c r="F3" s="9" t="s">
        <v>3</v>
      </c>
      <c r="G3" s="9" t="s">
        <v>4</v>
      </c>
      <c r="H3" s="3" t="s">
        <v>332</v>
      </c>
      <c r="I3" s="3" t="s">
        <v>333</v>
      </c>
    </row>
    <row r="4" spans="1:9" ht="18.75" customHeight="1" x14ac:dyDescent="0.25">
      <c r="A4" s="12">
        <v>1</v>
      </c>
      <c r="B4" t="s">
        <v>15</v>
      </c>
      <c r="C4" s="3">
        <v>1.5</v>
      </c>
      <c r="D4" s="3">
        <f>SUM($C$3:C3)+C4/2</f>
        <v>0.75</v>
      </c>
      <c r="E4" s="3">
        <v>147.601</v>
      </c>
      <c r="F4" s="9">
        <v>20</v>
      </c>
      <c r="G4" s="9">
        <v>0</v>
      </c>
      <c r="H4" s="13">
        <f>1 / ( 4 * SUMPRODUCT(C4:C35/ E4:E35) )</f>
        <v>0.37294806779076223</v>
      </c>
      <c r="I4" s="13">
        <f>1/H4</f>
        <v>2.6813384660328561</v>
      </c>
    </row>
    <row r="5" spans="1:9" ht="18.75" customHeight="1" x14ac:dyDescent="0.25">
      <c r="A5" s="12">
        <v>2</v>
      </c>
      <c r="B5" t="s">
        <v>16</v>
      </c>
      <c r="C5" s="9">
        <v>1</v>
      </c>
      <c r="D5" s="3">
        <f>SUM($C$3:C4)+C5/2</f>
        <v>2</v>
      </c>
      <c r="E5" s="3">
        <v>147.601</v>
      </c>
      <c r="F5" s="9">
        <v>18</v>
      </c>
      <c r="G5" s="9">
        <v>20</v>
      </c>
    </row>
    <row r="6" spans="1:9" ht="18.75" customHeight="1" x14ac:dyDescent="0.25">
      <c r="A6" s="12">
        <v>3</v>
      </c>
      <c r="B6" t="s">
        <v>17</v>
      </c>
      <c r="C6" s="9">
        <v>1</v>
      </c>
      <c r="D6" s="3">
        <f>SUM($C$3:C5)+C6/2</f>
        <v>3</v>
      </c>
      <c r="E6" s="3">
        <v>147.601</v>
      </c>
      <c r="F6" s="9">
        <v>19</v>
      </c>
      <c r="G6" s="9">
        <v>0</v>
      </c>
    </row>
    <row r="7" spans="1:9" ht="18.75" customHeight="1" x14ac:dyDescent="0.25">
      <c r="A7" s="12">
        <v>4</v>
      </c>
      <c r="B7" t="s">
        <v>18</v>
      </c>
      <c r="C7" s="9">
        <v>1</v>
      </c>
      <c r="D7" s="3">
        <f>SUM($C$3:C6)+C7/2</f>
        <v>4</v>
      </c>
      <c r="E7" s="3">
        <v>147.601</v>
      </c>
      <c r="F7" s="9">
        <v>19</v>
      </c>
      <c r="G7" s="9">
        <v>0</v>
      </c>
    </row>
    <row r="8" spans="1:9" ht="18.75" customHeight="1" x14ac:dyDescent="0.25">
      <c r="A8" s="12">
        <v>5</v>
      </c>
      <c r="B8" t="s">
        <v>19</v>
      </c>
      <c r="C8" s="3">
        <v>1.5</v>
      </c>
      <c r="D8" s="3">
        <f>SUM($C$3:C7)+C8/2</f>
        <v>5.25</v>
      </c>
      <c r="E8" s="3">
        <v>147.601</v>
      </c>
      <c r="F8" s="9">
        <v>19</v>
      </c>
      <c r="G8" s="9">
        <v>5</v>
      </c>
    </row>
    <row r="9" spans="1:9" ht="18.75" customHeight="1" x14ac:dyDescent="0.25">
      <c r="A9" s="12">
        <v>6</v>
      </c>
      <c r="B9" t="s">
        <v>20</v>
      </c>
      <c r="C9" s="3">
        <v>5.5</v>
      </c>
      <c r="D9" s="3">
        <f>SUM($C$3:C8)+C9/2</f>
        <v>8.75</v>
      </c>
      <c r="E9" s="3">
        <v>163.7498181818182</v>
      </c>
      <c r="F9" s="9">
        <v>19</v>
      </c>
      <c r="G9" s="9">
        <v>20</v>
      </c>
    </row>
    <row r="10" spans="1:9" ht="18.75" customHeight="1" x14ac:dyDescent="0.25">
      <c r="A10" s="12">
        <v>7</v>
      </c>
      <c r="B10" t="s">
        <v>21</v>
      </c>
      <c r="C10" s="3">
        <v>3.5</v>
      </c>
      <c r="D10" s="3">
        <f>SUM($C$3:C9)+C10/2</f>
        <v>13.25</v>
      </c>
      <c r="E10" s="3">
        <v>194.77128571428571</v>
      </c>
      <c r="F10" s="9">
        <v>20</v>
      </c>
      <c r="G10" s="9">
        <v>0</v>
      </c>
    </row>
    <row r="11" spans="1:9" ht="18.75" customHeight="1" x14ac:dyDescent="0.25">
      <c r="A11" s="12">
        <v>8</v>
      </c>
      <c r="B11" t="s">
        <v>22</v>
      </c>
      <c r="C11" s="3">
        <v>3.5</v>
      </c>
      <c r="D11" s="3">
        <f>SUM($C$3:C10)+C11/2</f>
        <v>16.75</v>
      </c>
      <c r="E11" s="3">
        <v>254.20914285714281</v>
      </c>
      <c r="F11" s="9">
        <v>19</v>
      </c>
      <c r="G11" s="9">
        <v>5</v>
      </c>
    </row>
    <row r="12" spans="1:9" ht="18.75" customHeight="1" x14ac:dyDescent="0.25">
      <c r="A12" s="12">
        <v>9</v>
      </c>
      <c r="B12" t="s">
        <v>23</v>
      </c>
      <c r="C12" s="3">
        <v>2.5</v>
      </c>
      <c r="D12" s="3">
        <f>SUM($C$3:C11)+C12/2</f>
        <v>19.75</v>
      </c>
      <c r="E12" s="3">
        <v>253.2722</v>
      </c>
      <c r="F12" s="9">
        <v>19</v>
      </c>
      <c r="G12" s="9">
        <v>20</v>
      </c>
    </row>
    <row r="13" spans="1:9" ht="18.75" customHeight="1" x14ac:dyDescent="0.25">
      <c r="A13" s="12">
        <v>10</v>
      </c>
      <c r="B13" t="s">
        <v>24</v>
      </c>
      <c r="C13" s="9">
        <v>3</v>
      </c>
      <c r="D13" s="3">
        <f>SUM($C$3:C12)+C13/2</f>
        <v>22.5</v>
      </c>
      <c r="E13" s="3">
        <v>280.43566666666669</v>
      </c>
      <c r="F13" s="9">
        <v>19</v>
      </c>
      <c r="G13" s="9">
        <v>5</v>
      </c>
    </row>
    <row r="14" spans="1:9" ht="18.75" customHeight="1" x14ac:dyDescent="0.25">
      <c r="A14" s="12">
        <v>11</v>
      </c>
      <c r="B14" t="s">
        <v>25</v>
      </c>
      <c r="C14" s="9">
        <v>6</v>
      </c>
      <c r="D14" s="3">
        <f>SUM($C$3:C13)+C14/2</f>
        <v>27</v>
      </c>
      <c r="E14" s="3">
        <v>256.10758333333342</v>
      </c>
      <c r="F14" s="9">
        <v>20</v>
      </c>
      <c r="G14" s="9">
        <v>0</v>
      </c>
    </row>
    <row r="15" spans="1:9" ht="18.75" customHeight="1" x14ac:dyDescent="0.25">
      <c r="A15" s="12">
        <v>12</v>
      </c>
      <c r="B15" t="s">
        <v>26</v>
      </c>
      <c r="C15" s="9">
        <v>6</v>
      </c>
      <c r="D15" s="3">
        <f>SUM($C$3:C14)+C15/2</f>
        <v>33</v>
      </c>
      <c r="E15" s="3">
        <v>252.1049166666667</v>
      </c>
      <c r="F15" s="9">
        <v>20</v>
      </c>
      <c r="G15" s="9">
        <v>0</v>
      </c>
    </row>
    <row r="16" spans="1:9" ht="18.75" customHeight="1" x14ac:dyDescent="0.25">
      <c r="A16" s="12">
        <v>13</v>
      </c>
      <c r="B16" t="s">
        <v>27</v>
      </c>
      <c r="C16" s="9">
        <v>12</v>
      </c>
      <c r="D16" s="3">
        <f>SUM($C$3:C15)+C16/2</f>
        <v>42</v>
      </c>
      <c r="E16" s="3">
        <v>229.08674999999999</v>
      </c>
      <c r="F16" s="9">
        <v>20</v>
      </c>
      <c r="G16" s="9">
        <v>20</v>
      </c>
    </row>
    <row r="17" spans="1:7" ht="18.75" customHeight="1" x14ac:dyDescent="0.25">
      <c r="A17" s="12">
        <v>14</v>
      </c>
      <c r="B17" t="s">
        <v>28</v>
      </c>
      <c r="C17" s="3">
        <v>12.5</v>
      </c>
      <c r="D17" s="3">
        <f>SUM($C$3:C16)+C17/2</f>
        <v>54.25</v>
      </c>
      <c r="E17" s="3">
        <v>284.23284000000001</v>
      </c>
      <c r="F17" s="9">
        <v>20</v>
      </c>
      <c r="G17" s="9">
        <v>0</v>
      </c>
    </row>
    <row r="18" spans="1:7" ht="18.75" customHeight="1" x14ac:dyDescent="0.25">
      <c r="A18" s="12">
        <v>15</v>
      </c>
      <c r="B18" t="s">
        <v>29</v>
      </c>
      <c r="C18" s="9">
        <v>10</v>
      </c>
      <c r="D18" s="3">
        <f>SUM($C$3:C17)+C18/2</f>
        <v>65.5</v>
      </c>
      <c r="E18" s="3">
        <v>336.60216666666668</v>
      </c>
      <c r="F18" s="9">
        <v>20</v>
      </c>
      <c r="G18" s="9">
        <v>20</v>
      </c>
    </row>
    <row r="19" spans="1:7" ht="18.75" customHeight="1" x14ac:dyDescent="0.25">
      <c r="A19" s="12">
        <v>16</v>
      </c>
      <c r="B19" t="s">
        <v>30</v>
      </c>
      <c r="C19" s="9">
        <v>10</v>
      </c>
      <c r="D19" s="3">
        <f>SUM($C$3:C18)+C19/2</f>
        <v>75.5</v>
      </c>
      <c r="E19" s="3">
        <v>345.52519999999998</v>
      </c>
      <c r="F19" s="9">
        <v>20</v>
      </c>
      <c r="G19" s="9">
        <v>20</v>
      </c>
    </row>
    <row r="20" spans="1:7" ht="18.75" customHeight="1" x14ac:dyDescent="0.25">
      <c r="A20" s="12">
        <v>17</v>
      </c>
      <c r="B20" t="s">
        <v>31</v>
      </c>
      <c r="C20" s="9">
        <v>10</v>
      </c>
      <c r="D20" s="3">
        <f>SUM($C$3:C19)+C20/2</f>
        <v>85.5</v>
      </c>
      <c r="E20" s="3">
        <v>330.69930000000011</v>
      </c>
      <c r="F20" s="9">
        <v>20</v>
      </c>
      <c r="G20" s="9">
        <v>20</v>
      </c>
    </row>
    <row r="21" spans="1:7" ht="18.75" customHeight="1" x14ac:dyDescent="0.25">
      <c r="A21" s="12">
        <v>18</v>
      </c>
      <c r="B21" t="s">
        <v>32</v>
      </c>
      <c r="C21" s="9">
        <v>10</v>
      </c>
      <c r="D21" s="3">
        <f>SUM($C$3:C20)+C21/2</f>
        <v>95.5</v>
      </c>
      <c r="E21" s="3">
        <v>401.21390000000002</v>
      </c>
      <c r="F21" s="9">
        <v>20</v>
      </c>
      <c r="G21" s="9">
        <v>20</v>
      </c>
    </row>
    <row r="22" spans="1:7" ht="18.75" customHeight="1" x14ac:dyDescent="0.25">
      <c r="A22" s="12">
        <v>19</v>
      </c>
      <c r="B22" t="s">
        <v>33</v>
      </c>
      <c r="C22" s="9">
        <v>10</v>
      </c>
      <c r="D22" s="3">
        <f>SUM($C$3:C21)+C22/2</f>
        <v>105.5</v>
      </c>
      <c r="E22" s="3">
        <v>416.64722222222218</v>
      </c>
      <c r="F22" s="9">
        <v>20</v>
      </c>
      <c r="G22" s="9">
        <v>20</v>
      </c>
    </row>
    <row r="23" spans="1:7" ht="18.75" customHeight="1" x14ac:dyDescent="0.25">
      <c r="A23" s="12">
        <v>20</v>
      </c>
      <c r="B23" t="s">
        <v>34</v>
      </c>
      <c r="C23" s="9">
        <v>10</v>
      </c>
      <c r="D23" s="3">
        <f>SUM($C$3:C22)+C23/2</f>
        <v>115.5</v>
      </c>
      <c r="E23" s="3">
        <v>390.74349999999998</v>
      </c>
      <c r="F23" s="9">
        <v>20</v>
      </c>
      <c r="G23" s="9">
        <v>20</v>
      </c>
    </row>
    <row r="24" spans="1:7" ht="18.75" customHeight="1" x14ac:dyDescent="0.25">
      <c r="A24" s="12">
        <v>21</v>
      </c>
      <c r="B24" t="s">
        <v>35</v>
      </c>
      <c r="C24" s="9">
        <v>10</v>
      </c>
      <c r="D24" s="3">
        <f>SUM($C$3:C23)+C24/2</f>
        <v>125.5</v>
      </c>
      <c r="E24" s="3">
        <v>447.57044444444438</v>
      </c>
      <c r="F24" s="9">
        <v>20</v>
      </c>
      <c r="G24" s="9">
        <v>20</v>
      </c>
    </row>
    <row r="25" spans="1:7" ht="18.75" customHeight="1" x14ac:dyDescent="0.25">
      <c r="A25" s="12">
        <v>22</v>
      </c>
      <c r="B25" t="s">
        <v>36</v>
      </c>
      <c r="C25" s="9">
        <v>10</v>
      </c>
      <c r="D25" s="3">
        <f>SUM($C$3:C24)+C25/2</f>
        <v>135.5</v>
      </c>
      <c r="E25" s="3">
        <v>408.6927</v>
      </c>
      <c r="F25" s="9">
        <v>20</v>
      </c>
      <c r="G25" s="9">
        <v>20</v>
      </c>
    </row>
    <row r="26" spans="1:7" ht="18.75" customHeight="1" x14ac:dyDescent="0.25">
      <c r="A26" s="12">
        <v>23</v>
      </c>
      <c r="B26" t="s">
        <v>37</v>
      </c>
      <c r="C26" s="9">
        <v>10</v>
      </c>
      <c r="D26" s="3">
        <f>SUM($C$3:C25)+C26/2</f>
        <v>145.5</v>
      </c>
      <c r="E26" s="3">
        <v>392.07549999999998</v>
      </c>
      <c r="F26" s="9">
        <v>20</v>
      </c>
      <c r="G26" s="9">
        <v>20</v>
      </c>
    </row>
    <row r="27" spans="1:7" ht="18.75" customHeight="1" x14ac:dyDescent="0.25">
      <c r="A27" s="12">
        <v>24</v>
      </c>
      <c r="B27" t="s">
        <v>38</v>
      </c>
      <c r="C27" s="9">
        <v>10</v>
      </c>
      <c r="D27" s="3">
        <f>SUM($C$3:C26)+C27/2</f>
        <v>155.5</v>
      </c>
      <c r="E27" s="3">
        <v>543.87430000000006</v>
      </c>
      <c r="F27" s="9">
        <v>20</v>
      </c>
      <c r="G27" s="9">
        <v>20</v>
      </c>
    </row>
    <row r="28" spans="1:7" ht="18.75" customHeight="1" x14ac:dyDescent="0.25">
      <c r="A28" s="12">
        <v>25</v>
      </c>
      <c r="B28" t="s">
        <v>39</v>
      </c>
      <c r="C28" s="9">
        <v>10</v>
      </c>
      <c r="D28" s="3">
        <f>SUM($C$3:C27)+C28/2</f>
        <v>165.5</v>
      </c>
      <c r="E28" s="3">
        <v>481.63619999999997</v>
      </c>
      <c r="F28" s="9">
        <v>20</v>
      </c>
      <c r="G28" s="9">
        <v>20</v>
      </c>
    </row>
    <row r="29" spans="1:7" ht="18.75" customHeight="1" x14ac:dyDescent="0.25">
      <c r="A29" s="12">
        <v>26</v>
      </c>
      <c r="B29" t="s">
        <v>40</v>
      </c>
      <c r="C29" s="9">
        <v>10</v>
      </c>
      <c r="D29" s="3">
        <f>SUM($C$3:C28)+C29/2</f>
        <v>175.5</v>
      </c>
      <c r="E29" s="3">
        <v>535.28859999999997</v>
      </c>
      <c r="F29" s="9">
        <v>20</v>
      </c>
      <c r="G29" s="9">
        <v>20</v>
      </c>
    </row>
    <row r="30" spans="1:7" ht="18.75" customHeight="1" x14ac:dyDescent="0.25">
      <c r="A30" s="12">
        <v>27</v>
      </c>
      <c r="B30" t="s">
        <v>41</v>
      </c>
      <c r="C30" s="9">
        <v>10</v>
      </c>
      <c r="D30" s="3">
        <f>SUM($C$3:C29)+C30/2</f>
        <v>185.5</v>
      </c>
      <c r="E30" s="3">
        <v>572.80110000000002</v>
      </c>
      <c r="F30" s="9">
        <v>20</v>
      </c>
      <c r="G30" s="9">
        <v>20</v>
      </c>
    </row>
    <row r="31" spans="1:7" ht="18.75" customHeight="1" x14ac:dyDescent="0.25">
      <c r="A31" s="12">
        <v>28</v>
      </c>
      <c r="B31" t="s">
        <v>42</v>
      </c>
      <c r="C31" s="9">
        <v>10</v>
      </c>
      <c r="D31" s="3">
        <f>SUM($C$3:C30)+C31/2</f>
        <v>195.5</v>
      </c>
      <c r="E31" s="3">
        <v>479.34545454545457</v>
      </c>
      <c r="F31" s="9">
        <v>20</v>
      </c>
      <c r="G31" s="9">
        <v>20</v>
      </c>
    </row>
    <row r="32" spans="1:7" ht="18.75" customHeight="1" x14ac:dyDescent="0.25">
      <c r="A32" s="12">
        <v>29</v>
      </c>
      <c r="B32" t="s">
        <v>43</v>
      </c>
      <c r="C32" s="9">
        <v>10</v>
      </c>
      <c r="D32" s="3">
        <f>SUM($C$3:C31)+C32/2</f>
        <v>205.5</v>
      </c>
      <c r="E32" s="3">
        <v>471.125</v>
      </c>
      <c r="F32" s="9">
        <v>20</v>
      </c>
      <c r="G32" s="9">
        <v>20</v>
      </c>
    </row>
    <row r="33" spans="1:7" ht="18.75" customHeight="1" x14ac:dyDescent="0.25">
      <c r="A33" s="12">
        <v>30</v>
      </c>
      <c r="B33" t="s">
        <v>44</v>
      </c>
      <c r="C33" s="9">
        <v>10</v>
      </c>
      <c r="D33" s="3">
        <f>SUM($C$3:C32)+C33/2</f>
        <v>215.5</v>
      </c>
      <c r="E33" s="3">
        <v>568.93466666666654</v>
      </c>
      <c r="F33" s="9">
        <v>20</v>
      </c>
      <c r="G33" s="9">
        <v>20</v>
      </c>
    </row>
    <row r="34" spans="1:7" ht="18.75" customHeight="1" x14ac:dyDescent="0.25">
      <c r="A34" s="12">
        <v>31</v>
      </c>
      <c r="B34" t="s">
        <v>45</v>
      </c>
      <c r="C34" s="9">
        <v>10</v>
      </c>
      <c r="D34" s="3">
        <f>SUM($C$3:C33)+C34/2</f>
        <v>225.5</v>
      </c>
      <c r="E34" s="3">
        <v>685.59800000000018</v>
      </c>
      <c r="F34" s="9">
        <v>20</v>
      </c>
      <c r="G34" s="9">
        <v>20</v>
      </c>
    </row>
    <row r="35" spans="1:7" ht="18.75" customHeight="1" x14ac:dyDescent="0.25">
      <c r="A35" s="12">
        <v>32</v>
      </c>
      <c r="B35" t="s">
        <v>46</v>
      </c>
      <c r="C35" s="3">
        <v>9.5</v>
      </c>
      <c r="D35" s="3">
        <f>SUM($C$3:C34)+C35/2</f>
        <v>235.25</v>
      </c>
      <c r="E35" s="3">
        <v>635.83345454545452</v>
      </c>
      <c r="F35" s="9">
        <v>20</v>
      </c>
      <c r="G35" s="9">
        <v>20</v>
      </c>
    </row>
    <row r="36" spans="1:7" ht="18.75" customHeight="1" x14ac:dyDescent="0.25">
      <c r="B36" s="15"/>
      <c r="C36" s="3"/>
      <c r="D36" s="3"/>
      <c r="F36" s="9"/>
    </row>
    <row r="37" spans="1:7" ht="18.75" customHeight="1" x14ac:dyDescent="0.25">
      <c r="B37" s="15"/>
      <c r="C37" s="3"/>
      <c r="D37" s="3"/>
      <c r="F37" s="9"/>
    </row>
    <row r="38" spans="1:7" ht="18.75" customHeight="1" x14ac:dyDescent="0.25">
      <c r="B38" s="15"/>
      <c r="C38" s="3"/>
      <c r="D38" s="3"/>
      <c r="F38" s="9"/>
    </row>
    <row r="39" spans="1:7" ht="18.75" customHeight="1" x14ac:dyDescent="0.25">
      <c r="B39" s="15"/>
      <c r="C39" s="3"/>
      <c r="D39" s="3"/>
      <c r="F39" s="9"/>
    </row>
    <row r="40" spans="1:7" ht="18.75" customHeight="1" x14ac:dyDescent="0.25">
      <c r="B40" s="15"/>
      <c r="C40" s="3"/>
      <c r="D40" s="3"/>
      <c r="F40" s="9"/>
    </row>
    <row r="41" spans="1:7" ht="18.75" customHeight="1" x14ac:dyDescent="0.25">
      <c r="B41" s="15"/>
      <c r="C41" s="3"/>
      <c r="D41" s="3"/>
      <c r="F41" s="9"/>
    </row>
    <row r="42" spans="1:7" ht="18.75" customHeight="1" x14ac:dyDescent="0.25">
      <c r="B42" s="15"/>
      <c r="C42" s="3"/>
      <c r="D42" s="3"/>
      <c r="F42" s="9"/>
    </row>
    <row r="43" spans="1:7" ht="18.75" customHeight="1" x14ac:dyDescent="0.25">
      <c r="B43" s="15"/>
      <c r="C43" s="3"/>
      <c r="D43" s="3"/>
      <c r="F43" s="9"/>
      <c r="G43" s="9"/>
    </row>
    <row r="44" spans="1:7" ht="18.75" customHeight="1" x14ac:dyDescent="0.25">
      <c r="B44" s="15"/>
      <c r="C44" s="3"/>
      <c r="D44" s="3"/>
      <c r="F44" s="9"/>
      <c r="G44" s="9"/>
    </row>
    <row r="45" spans="1:7" ht="18.75" customHeight="1" x14ac:dyDescent="0.25">
      <c r="B45" s="15"/>
      <c r="C45" s="3"/>
      <c r="D45" s="3"/>
      <c r="F45" s="9"/>
      <c r="G45" s="9"/>
    </row>
    <row r="46" spans="1:7" ht="18.75" customHeight="1" x14ac:dyDescent="0.25">
      <c r="B46" s="15"/>
      <c r="C46" s="3"/>
      <c r="D46" s="3"/>
      <c r="F46" s="9"/>
      <c r="G46" s="9"/>
    </row>
    <row r="47" spans="1:7" ht="18.75" customHeight="1" x14ac:dyDescent="0.25">
      <c r="B47" s="15"/>
      <c r="C47" s="3"/>
      <c r="D47" s="3"/>
      <c r="F47" s="9"/>
      <c r="G47" s="9"/>
    </row>
    <row r="48" spans="1:7" ht="18.75" customHeight="1" x14ac:dyDescent="0.25">
      <c r="B48" s="15"/>
      <c r="C48" s="3"/>
      <c r="D48" s="3"/>
      <c r="F48" s="9"/>
      <c r="G48" s="9"/>
    </row>
    <row r="49" spans="2:7" ht="18.75" customHeight="1" x14ac:dyDescent="0.25">
      <c r="B49" s="15"/>
      <c r="C49" s="3"/>
      <c r="D49" s="3"/>
      <c r="F49" s="9"/>
      <c r="G49" s="9"/>
    </row>
    <row r="50" spans="2:7" ht="18.75" customHeight="1" x14ac:dyDescent="0.25">
      <c r="B50" s="15"/>
      <c r="C50" s="3"/>
      <c r="D50" s="3"/>
      <c r="F50" s="9"/>
      <c r="G50" s="9"/>
    </row>
    <row r="51" spans="2:7" ht="18.75" customHeight="1" x14ac:dyDescent="0.25">
      <c r="B51" s="15"/>
      <c r="C51" s="3"/>
      <c r="D51" s="3"/>
      <c r="F51" s="9"/>
      <c r="G51" s="9"/>
    </row>
    <row r="52" spans="2:7" ht="18.75" customHeight="1" x14ac:dyDescent="0.25">
      <c r="B52" s="15"/>
      <c r="C52" s="3"/>
      <c r="D52" s="3"/>
      <c r="F52" s="9"/>
      <c r="G52" s="9"/>
    </row>
    <row r="53" spans="2:7" ht="18.75" customHeight="1" x14ac:dyDescent="0.25">
      <c r="B53" s="15"/>
      <c r="C53" s="3"/>
      <c r="D53" s="3"/>
      <c r="F53" s="9"/>
      <c r="G53" s="9"/>
    </row>
    <row r="54" spans="2:7" ht="18.75" customHeight="1" x14ac:dyDescent="0.25">
      <c r="B54" s="15"/>
      <c r="C54" s="3"/>
      <c r="D54" s="3"/>
      <c r="F54" s="9"/>
      <c r="G54" s="9"/>
    </row>
    <row r="55" spans="2:7" ht="18.75" customHeight="1" x14ac:dyDescent="0.25">
      <c r="B55" s="15"/>
      <c r="C55" s="3"/>
      <c r="D55" s="3"/>
      <c r="F55" s="9"/>
      <c r="G55" s="9"/>
    </row>
    <row r="56" spans="2:7" ht="18.75" customHeight="1" x14ac:dyDescent="0.25">
      <c r="B56" s="15"/>
      <c r="C56" s="3"/>
      <c r="D56" s="3"/>
      <c r="F56" s="9"/>
      <c r="G56" s="9"/>
    </row>
    <row r="57" spans="2:7" ht="18.75" customHeight="1" x14ac:dyDescent="0.25">
      <c r="B57" s="15"/>
      <c r="C57" s="3"/>
      <c r="D57" s="3"/>
      <c r="F57" s="9"/>
      <c r="G57" s="9"/>
    </row>
    <row r="58" spans="2:7" ht="18.75" customHeight="1" x14ac:dyDescent="0.25">
      <c r="B58" s="15"/>
      <c r="C58" s="3"/>
      <c r="D58" s="3"/>
      <c r="F58" s="9"/>
      <c r="G58" s="9"/>
    </row>
    <row r="59" spans="2:7" ht="18.75" customHeight="1" x14ac:dyDescent="0.25">
      <c r="B59" s="15"/>
      <c r="C59" s="3"/>
      <c r="D59" s="3"/>
      <c r="F59" s="9"/>
      <c r="G59" s="9"/>
    </row>
    <row r="60" spans="2:7" ht="18.75" customHeight="1" x14ac:dyDescent="0.25">
      <c r="B60" s="15"/>
      <c r="C60" s="3"/>
      <c r="D60" s="3"/>
      <c r="F60" s="9"/>
      <c r="G60" s="9"/>
    </row>
    <row r="61" spans="2:7" ht="18.75" customHeight="1" x14ac:dyDescent="0.25">
      <c r="B61" s="15"/>
      <c r="C61" s="3"/>
      <c r="D61" s="3"/>
      <c r="F61" s="9"/>
      <c r="G61" s="9"/>
    </row>
    <row r="62" spans="2:7" ht="18.75" customHeight="1" x14ac:dyDescent="0.25">
      <c r="B62" s="15"/>
      <c r="C62" s="3"/>
      <c r="D62" s="3"/>
      <c r="F62" s="9"/>
      <c r="G62" s="9"/>
    </row>
    <row r="63" spans="2:7" ht="18.75" customHeight="1" x14ac:dyDescent="0.25">
      <c r="B63" s="15"/>
      <c r="C63" s="3"/>
      <c r="D63" s="3"/>
      <c r="F63" s="9"/>
      <c r="G63" s="9"/>
    </row>
    <row r="64" spans="2:7" ht="18.75" customHeight="1" x14ac:dyDescent="0.25">
      <c r="B64" s="15"/>
      <c r="C64" s="3"/>
      <c r="D64" s="3"/>
      <c r="F64" s="9"/>
      <c r="G64" s="9"/>
    </row>
    <row r="65" spans="2:7" ht="18.75" customHeight="1" x14ac:dyDescent="0.25">
      <c r="B65" s="15"/>
      <c r="C65" s="3"/>
      <c r="D65" s="3"/>
      <c r="F65" s="9"/>
      <c r="G65" s="9"/>
    </row>
    <row r="66" spans="2:7" ht="18.75" customHeight="1" x14ac:dyDescent="0.25">
      <c r="B66" s="15"/>
      <c r="C66" s="3"/>
      <c r="D66" s="3"/>
      <c r="F66" s="9"/>
      <c r="G66" s="9"/>
    </row>
    <row r="67" spans="2:7" ht="18.75" customHeight="1" x14ac:dyDescent="0.25">
      <c r="B67" s="15"/>
      <c r="C67" s="3"/>
      <c r="D67" s="3"/>
      <c r="F67" s="9"/>
      <c r="G67" s="9"/>
    </row>
    <row r="68" spans="2:7" ht="18.75" customHeight="1" x14ac:dyDescent="0.25">
      <c r="B68" s="15"/>
      <c r="C68" s="3"/>
      <c r="D68" s="3"/>
      <c r="F68" s="9"/>
      <c r="G68" s="9"/>
    </row>
    <row r="69" spans="2:7" ht="18.75" customHeight="1" x14ac:dyDescent="0.25">
      <c r="B69" s="15"/>
      <c r="C69" s="3"/>
      <c r="D69" s="3"/>
      <c r="F69" s="9"/>
      <c r="G69" s="9"/>
    </row>
    <row r="70" spans="2:7" ht="18.75" customHeight="1" x14ac:dyDescent="0.25">
      <c r="B70" s="15"/>
      <c r="C70" s="3"/>
      <c r="D70" s="3"/>
      <c r="F70" s="9"/>
      <c r="G70" s="9"/>
    </row>
    <row r="71" spans="2:7" ht="18.75" customHeight="1" x14ac:dyDescent="0.25">
      <c r="B71" s="15"/>
      <c r="C71" s="3"/>
      <c r="D71" s="3"/>
      <c r="F71" s="9"/>
      <c r="G71" s="9"/>
    </row>
    <row r="72" spans="2:7" ht="18.75" customHeight="1" x14ac:dyDescent="0.25">
      <c r="B72" s="15"/>
      <c r="C72" s="3"/>
      <c r="D72" s="3"/>
      <c r="F72" s="9"/>
      <c r="G72" s="9"/>
    </row>
    <row r="73" spans="2:7" ht="18.75" customHeight="1" x14ac:dyDescent="0.25">
      <c r="B73" s="15"/>
      <c r="C73" s="3"/>
      <c r="D73" s="3"/>
      <c r="F73" s="9"/>
      <c r="G73" s="9"/>
    </row>
    <row r="74" spans="2:7" ht="18.75" customHeight="1" x14ac:dyDescent="0.25">
      <c r="B74" s="15"/>
      <c r="C74" s="3"/>
      <c r="D74" s="3"/>
      <c r="F74" s="9"/>
      <c r="G74" s="9"/>
    </row>
    <row r="75" spans="2:7" ht="18.75" customHeight="1" x14ac:dyDescent="0.25">
      <c r="B75" s="15"/>
      <c r="C75" s="3"/>
      <c r="D75" s="3"/>
      <c r="F75" s="9"/>
      <c r="G75" s="9"/>
    </row>
    <row r="76" spans="2:7" ht="18.75" customHeight="1" x14ac:dyDescent="0.25">
      <c r="B76" s="15"/>
      <c r="C76" s="3"/>
      <c r="D76" s="3"/>
      <c r="F76" s="9"/>
      <c r="G76" s="9"/>
    </row>
    <row r="77" spans="2:7" ht="18.75" customHeight="1" x14ac:dyDescent="0.25">
      <c r="B77" s="15"/>
      <c r="C77" s="3"/>
      <c r="D77" s="3"/>
      <c r="F77" s="9"/>
      <c r="G77" s="9"/>
    </row>
    <row r="78" spans="2:7" ht="18.75" customHeight="1" x14ac:dyDescent="0.25">
      <c r="B78" s="15"/>
      <c r="C78" s="3"/>
      <c r="D78" s="3"/>
      <c r="F78" s="9"/>
      <c r="G78" s="9"/>
    </row>
    <row r="79" spans="2:7" ht="18.75" customHeight="1" x14ac:dyDescent="0.25">
      <c r="B79" s="15"/>
      <c r="C79" s="3"/>
      <c r="D79" s="3"/>
      <c r="F79" s="9"/>
      <c r="G79" s="9"/>
    </row>
    <row r="80" spans="2:7" ht="18.75" customHeight="1" x14ac:dyDescent="0.25">
      <c r="B80" s="15"/>
      <c r="C80" s="3"/>
      <c r="D80" s="3"/>
      <c r="F80" s="9"/>
      <c r="G80" s="9"/>
    </row>
    <row r="81" spans="2:7" ht="18.75" customHeight="1" x14ac:dyDescent="0.25">
      <c r="B81" s="15"/>
      <c r="C81" s="3"/>
      <c r="D81" s="3"/>
      <c r="F81" s="9"/>
      <c r="G81" s="9"/>
    </row>
    <row r="82" spans="2:7" ht="18.75" customHeight="1" x14ac:dyDescent="0.25">
      <c r="B82" s="15"/>
      <c r="C82" s="3"/>
      <c r="D82" s="3"/>
      <c r="F82" s="9"/>
      <c r="G82" s="9"/>
    </row>
    <row r="83" spans="2:7" ht="18.75" customHeight="1" x14ac:dyDescent="0.25">
      <c r="B83" s="15"/>
      <c r="C83" s="3"/>
      <c r="D83" s="3"/>
      <c r="F83" s="9"/>
      <c r="G83" s="9"/>
    </row>
    <row r="84" spans="2:7" ht="18.75" customHeight="1" x14ac:dyDescent="0.25">
      <c r="B84" s="15"/>
      <c r="C84" s="3"/>
      <c r="D84" s="3"/>
      <c r="F84" s="9"/>
      <c r="G84" s="9"/>
    </row>
    <row r="85" spans="2:7" ht="18.75" customHeight="1" x14ac:dyDescent="0.25">
      <c r="B85" s="15"/>
      <c r="C85" s="3"/>
      <c r="D85" s="3"/>
      <c r="F85" s="9"/>
      <c r="G85" s="9"/>
    </row>
    <row r="86" spans="2:7" ht="18.75" customHeight="1" x14ac:dyDescent="0.25">
      <c r="B86" s="15"/>
      <c r="C86" s="3"/>
      <c r="D86" s="3"/>
      <c r="F86" s="9"/>
      <c r="G86" s="9"/>
    </row>
    <row r="87" spans="2:7" ht="18.75" customHeight="1" x14ac:dyDescent="0.25">
      <c r="B87" s="15"/>
      <c r="C87" s="3"/>
      <c r="D87" s="3"/>
      <c r="F87" s="9"/>
      <c r="G87" s="9"/>
    </row>
    <row r="88" spans="2:7" ht="18.75" customHeight="1" x14ac:dyDescent="0.25">
      <c r="B88" s="15"/>
      <c r="C88" s="3"/>
      <c r="D88" s="3"/>
      <c r="F88" s="9"/>
      <c r="G88" s="9"/>
    </row>
    <row r="89" spans="2:7" ht="18.75" customHeight="1" x14ac:dyDescent="0.25">
      <c r="B89" s="15"/>
      <c r="C89" s="3"/>
      <c r="D89" s="3"/>
      <c r="F89" s="9"/>
      <c r="G89" s="9"/>
    </row>
    <row r="90" spans="2:7" ht="18.75" customHeight="1" x14ac:dyDescent="0.25">
      <c r="B90" s="15"/>
      <c r="C90" s="3"/>
      <c r="D90" s="3"/>
      <c r="F90" s="9"/>
      <c r="G90" s="9"/>
    </row>
    <row r="91" spans="2:7" ht="18.75" customHeight="1" x14ac:dyDescent="0.25">
      <c r="B91" s="15"/>
      <c r="C91" s="3"/>
      <c r="D91" s="3"/>
      <c r="F91" s="9"/>
      <c r="G91" s="9"/>
    </row>
    <row r="92" spans="2:7" ht="18.75" customHeight="1" x14ac:dyDescent="0.25">
      <c r="B92" s="15"/>
      <c r="C92" s="3"/>
      <c r="D92" s="3"/>
      <c r="F92" s="9"/>
      <c r="G92" s="9"/>
    </row>
    <row r="93" spans="2:7" ht="18.75" customHeight="1" x14ac:dyDescent="0.25">
      <c r="B93" s="15"/>
      <c r="C93" s="3"/>
      <c r="D93" s="3"/>
      <c r="F93" s="9"/>
      <c r="G93" s="9"/>
    </row>
    <row r="94" spans="2:7" ht="18.75" customHeight="1" x14ac:dyDescent="0.25">
      <c r="B94" s="15"/>
      <c r="C94" s="3"/>
      <c r="D94" s="3"/>
      <c r="F94" s="9"/>
      <c r="G94" s="9"/>
    </row>
    <row r="95" spans="2:7" ht="18.75" customHeight="1" x14ac:dyDescent="0.25">
      <c r="B95" s="15"/>
      <c r="C95" s="3"/>
      <c r="D95" s="3"/>
      <c r="F95" s="9"/>
      <c r="G95" s="9"/>
    </row>
    <row r="96" spans="2:7" ht="18.75" customHeight="1" x14ac:dyDescent="0.25">
      <c r="B96" s="15"/>
      <c r="C96" s="3"/>
      <c r="D96" s="3"/>
      <c r="F96" s="9"/>
      <c r="G96" s="9"/>
    </row>
    <row r="97" spans="2:7" ht="18.75" customHeight="1" x14ac:dyDescent="0.25">
      <c r="B97" s="15"/>
      <c r="C97" s="3"/>
      <c r="D97" s="3"/>
      <c r="F97" s="9"/>
      <c r="G97" s="9"/>
    </row>
    <row r="98" spans="2:7" ht="18.75" customHeight="1" x14ac:dyDescent="0.25">
      <c r="B98" s="15"/>
      <c r="C98" s="3"/>
      <c r="D98" s="3"/>
      <c r="F98" s="9"/>
      <c r="G98" s="9"/>
    </row>
    <row r="99" spans="2:7" ht="18.75" customHeight="1" x14ac:dyDescent="0.25">
      <c r="B99" s="15"/>
      <c r="C99" s="3"/>
      <c r="D99" s="3"/>
      <c r="F99" s="9"/>
      <c r="G99" s="9"/>
    </row>
    <row r="100" spans="2:7" ht="18.75" customHeight="1" x14ac:dyDescent="0.25">
      <c r="B100" s="15"/>
      <c r="C100" s="3"/>
      <c r="D100" s="3"/>
      <c r="F100" s="9"/>
      <c r="G100" s="9"/>
    </row>
    <row r="101" spans="2:7" ht="18.75" customHeight="1" x14ac:dyDescent="0.25">
      <c r="B101" s="15"/>
      <c r="C101" s="3"/>
      <c r="D101" s="3"/>
      <c r="F101" s="9"/>
      <c r="G101" s="9"/>
    </row>
    <row r="102" spans="2:7" ht="18.75" customHeight="1" x14ac:dyDescent="0.25">
      <c r="B102" s="15"/>
      <c r="C102" s="3"/>
      <c r="D102" s="3"/>
      <c r="F102" s="9"/>
      <c r="G102" s="9"/>
    </row>
    <row r="103" spans="2:7" ht="18.75" customHeight="1" x14ac:dyDescent="0.25">
      <c r="B103" s="15"/>
      <c r="C103" s="3"/>
      <c r="D103" s="3"/>
      <c r="F103" s="9"/>
      <c r="G103" s="9"/>
    </row>
    <row r="104" spans="2:7" ht="18.75" customHeight="1" x14ac:dyDescent="0.25">
      <c r="B104" s="15"/>
      <c r="C104" s="3"/>
      <c r="D104" s="3"/>
      <c r="F104" s="9"/>
      <c r="G104" s="9"/>
    </row>
    <row r="105" spans="2:7" ht="18.75" customHeight="1" x14ac:dyDescent="0.25">
      <c r="B105" s="15"/>
      <c r="C105" s="3"/>
      <c r="D105" s="3"/>
      <c r="F105" s="9"/>
      <c r="G105" s="9"/>
    </row>
    <row r="106" spans="2:7" ht="18.75" customHeight="1" x14ac:dyDescent="0.25">
      <c r="B106" s="15"/>
      <c r="C106" s="3"/>
      <c r="D106" s="3"/>
      <c r="F106" s="9"/>
      <c r="G106" s="9"/>
    </row>
    <row r="107" spans="2:7" ht="18.75" customHeight="1" x14ac:dyDescent="0.25">
      <c r="B107" s="15"/>
      <c r="C107" s="3"/>
      <c r="D107" s="3"/>
      <c r="F107" s="9"/>
      <c r="G107" s="9"/>
    </row>
    <row r="108" spans="2:7" ht="18.75" customHeight="1" x14ac:dyDescent="0.25">
      <c r="B108" s="15"/>
      <c r="C108" s="3"/>
      <c r="D108" s="3"/>
      <c r="F108" s="9"/>
      <c r="G108" s="9"/>
    </row>
    <row r="109" spans="2:7" ht="18.75" customHeight="1" x14ac:dyDescent="0.25">
      <c r="B109" s="15"/>
      <c r="C109" s="3"/>
      <c r="D109" s="3"/>
      <c r="F109" s="9"/>
      <c r="G109" s="9"/>
    </row>
    <row r="110" spans="2:7" ht="18.75" customHeight="1" x14ac:dyDescent="0.25">
      <c r="B110" s="15"/>
      <c r="C110" s="3"/>
      <c r="D110" s="3"/>
      <c r="F110" s="9"/>
      <c r="G110" s="9"/>
    </row>
    <row r="111" spans="2:7" ht="18.75" customHeight="1" x14ac:dyDescent="0.25">
      <c r="B111" s="15"/>
      <c r="C111" s="3"/>
      <c r="D111" s="3"/>
      <c r="F111" s="9"/>
      <c r="G111" s="9"/>
    </row>
    <row r="112" spans="2:7" ht="18.75" customHeight="1" x14ac:dyDescent="0.25">
      <c r="B112" s="15"/>
      <c r="C112" s="3"/>
      <c r="D112" s="3"/>
      <c r="F112" s="9"/>
      <c r="G112" s="9"/>
    </row>
    <row r="113" spans="2:7" ht="18.75" customHeight="1" x14ac:dyDescent="0.25">
      <c r="B113" s="15"/>
      <c r="C113" s="3"/>
      <c r="D113" s="3"/>
      <c r="F113" s="9"/>
      <c r="G113" s="9"/>
    </row>
    <row r="114" spans="2:7" ht="18.75" customHeight="1" x14ac:dyDescent="0.25">
      <c r="B114" s="15"/>
      <c r="C114" s="3"/>
      <c r="D114" s="3"/>
      <c r="F114" s="9"/>
      <c r="G114" s="9"/>
    </row>
    <row r="115" spans="2:7" ht="18.75" customHeight="1" x14ac:dyDescent="0.25">
      <c r="B115" s="15"/>
      <c r="C115" s="3"/>
      <c r="D115" s="3"/>
      <c r="F115" s="9"/>
      <c r="G115" s="9"/>
    </row>
    <row r="116" spans="2:7" ht="18.75" customHeight="1" x14ac:dyDescent="0.25">
      <c r="B116" s="15"/>
      <c r="C116" s="3"/>
      <c r="D116" s="3"/>
      <c r="F116" s="9"/>
      <c r="G116" s="9"/>
    </row>
    <row r="117" spans="2:7" ht="18.75" customHeight="1" x14ac:dyDescent="0.25">
      <c r="B117" s="15"/>
      <c r="C117" s="3"/>
      <c r="D117" s="3"/>
      <c r="F117" s="9"/>
      <c r="G117" s="9"/>
    </row>
    <row r="118" spans="2:7" ht="18.75" customHeight="1" x14ac:dyDescent="0.25">
      <c r="B118" s="15"/>
      <c r="C118" s="3"/>
      <c r="D118" s="3"/>
      <c r="F118" s="9"/>
      <c r="G118" s="9"/>
    </row>
    <row r="119" spans="2:7" ht="18.75" customHeight="1" x14ac:dyDescent="0.25">
      <c r="B119" s="15"/>
      <c r="C119" s="3"/>
      <c r="D119" s="3"/>
      <c r="F119" s="9"/>
      <c r="G119" s="9"/>
    </row>
    <row r="120" spans="2:7" ht="18.75" customHeight="1" x14ac:dyDescent="0.25">
      <c r="B120" s="15"/>
      <c r="C120" s="3"/>
      <c r="D120" s="3"/>
      <c r="F120" s="9"/>
      <c r="G120" s="9"/>
    </row>
    <row r="121" spans="2:7" ht="18.75" customHeight="1" x14ac:dyDescent="0.25">
      <c r="B121" s="15"/>
      <c r="C121" s="3"/>
      <c r="D121" s="3"/>
      <c r="F121" s="9"/>
      <c r="G121" s="9"/>
    </row>
    <row r="122" spans="2:7" ht="18.75" customHeight="1" x14ac:dyDescent="0.25">
      <c r="B122" s="15"/>
      <c r="C122" s="3"/>
      <c r="D122" s="3"/>
      <c r="F122" s="9"/>
      <c r="G122" s="9"/>
    </row>
    <row r="123" spans="2:7" ht="18.75" customHeight="1" x14ac:dyDescent="0.25">
      <c r="B123" s="15"/>
      <c r="C123" s="3"/>
      <c r="D123" s="3"/>
      <c r="F123" s="9"/>
      <c r="G123" s="9"/>
    </row>
    <row r="124" spans="2:7" ht="18.75" customHeight="1" x14ac:dyDescent="0.25">
      <c r="B124" s="15"/>
      <c r="C124" s="3"/>
      <c r="D124" s="3"/>
      <c r="F124" s="9"/>
      <c r="G124" s="9"/>
    </row>
    <row r="125" spans="2:7" ht="18.75" customHeight="1" x14ac:dyDescent="0.25">
      <c r="B125" s="15"/>
      <c r="C125" s="3"/>
      <c r="D125" s="3"/>
      <c r="F125" s="9"/>
      <c r="G125" s="9"/>
    </row>
    <row r="126" spans="2:7" ht="18.75" customHeight="1" x14ac:dyDescent="0.25">
      <c r="B126" s="15"/>
      <c r="C126" s="3"/>
      <c r="D126" s="3"/>
      <c r="F126" s="9"/>
      <c r="G126" s="9"/>
    </row>
    <row r="127" spans="2:7" ht="18.75" customHeight="1" x14ac:dyDescent="0.25">
      <c r="B127" s="15"/>
      <c r="C127" s="3"/>
      <c r="D127" s="3"/>
      <c r="F127" s="9"/>
      <c r="G127" s="9"/>
    </row>
    <row r="128" spans="2:7" ht="18.75" customHeight="1" x14ac:dyDescent="0.25">
      <c r="B128" s="15"/>
      <c r="C128" s="3"/>
      <c r="D128" s="3"/>
      <c r="F128" s="9"/>
      <c r="G128" s="9"/>
    </row>
    <row r="129" spans="2:7" ht="18.75" customHeight="1" x14ac:dyDescent="0.25">
      <c r="B129" s="15"/>
      <c r="C129" s="3"/>
      <c r="D129" s="3"/>
      <c r="F129" s="9"/>
      <c r="G129" s="9"/>
    </row>
    <row r="130" spans="2:7" ht="18.75" customHeight="1" x14ac:dyDescent="0.25">
      <c r="B130" s="15"/>
      <c r="C130" s="3"/>
      <c r="D130" s="3"/>
      <c r="F130" s="9"/>
      <c r="G130" s="9"/>
    </row>
    <row r="131" spans="2:7" ht="18.75" customHeight="1" x14ac:dyDescent="0.25">
      <c r="B131" s="15"/>
      <c r="C131" s="3"/>
      <c r="D131" s="3"/>
      <c r="F131" s="9"/>
      <c r="G131" s="9"/>
    </row>
    <row r="132" spans="2:7" ht="18.75" customHeight="1" x14ac:dyDescent="0.25">
      <c r="B132" s="15"/>
      <c r="C132" s="3"/>
      <c r="D132" s="3"/>
      <c r="F132" s="9"/>
      <c r="G132" s="9"/>
    </row>
    <row r="133" spans="2:7" ht="18.75" customHeight="1" x14ac:dyDescent="0.25">
      <c r="B133" s="15"/>
      <c r="C133" s="3"/>
      <c r="D133" s="3"/>
      <c r="F133" s="9"/>
      <c r="G133" s="9"/>
    </row>
    <row r="134" spans="2:7" ht="18.75" customHeight="1" x14ac:dyDescent="0.25">
      <c r="B134" s="15"/>
      <c r="C134" s="3"/>
      <c r="D134" s="3"/>
      <c r="F134" s="9"/>
      <c r="G134" s="9"/>
    </row>
    <row r="135" spans="2:7" ht="18.75" customHeight="1" x14ac:dyDescent="0.25">
      <c r="B135" s="15"/>
      <c r="C135" s="3"/>
      <c r="D135" s="3"/>
      <c r="F135" s="9"/>
      <c r="G135" s="9"/>
    </row>
    <row r="136" spans="2:7" ht="18.75" customHeight="1" x14ac:dyDescent="0.25">
      <c r="B136" s="15"/>
      <c r="C136" s="3"/>
      <c r="D136" s="3"/>
      <c r="F136" s="9"/>
      <c r="G136" s="9"/>
    </row>
    <row r="137" spans="2:7" ht="18.75" customHeight="1" x14ac:dyDescent="0.25">
      <c r="B137" s="15"/>
      <c r="C137" s="3"/>
      <c r="D137" s="3"/>
      <c r="F137" s="9"/>
      <c r="G137" s="9"/>
    </row>
    <row r="138" spans="2:7" ht="18.75" customHeight="1" x14ac:dyDescent="0.25">
      <c r="B138" s="15"/>
      <c r="C138" s="3"/>
      <c r="D138" s="3"/>
      <c r="F138" s="9"/>
      <c r="G138" s="9"/>
    </row>
    <row r="139" spans="2:7" ht="18.75" customHeight="1" x14ac:dyDescent="0.25">
      <c r="B139" s="15"/>
      <c r="C139" s="3"/>
      <c r="D139" s="3"/>
      <c r="F139" s="9"/>
      <c r="G139" s="9"/>
    </row>
    <row r="140" spans="2:7" ht="18.75" customHeight="1" x14ac:dyDescent="0.25">
      <c r="B140" s="15"/>
      <c r="C140" s="3"/>
      <c r="D140" s="3"/>
      <c r="F140" s="9"/>
      <c r="G140" s="9"/>
    </row>
    <row r="141" spans="2:7" ht="18.75" customHeight="1" x14ac:dyDescent="0.25">
      <c r="B141" s="15"/>
      <c r="C141" s="3"/>
      <c r="D141" s="3"/>
      <c r="F141" s="9"/>
      <c r="G141" s="9"/>
    </row>
    <row r="142" spans="2:7" ht="18.75" customHeight="1" x14ac:dyDescent="0.25">
      <c r="B142" s="15"/>
      <c r="C142" s="3"/>
      <c r="D142" s="3"/>
      <c r="F142" s="9"/>
      <c r="G142" s="9"/>
    </row>
    <row r="143" spans="2:7" ht="18.75" customHeight="1" x14ac:dyDescent="0.25">
      <c r="B143" s="15"/>
      <c r="C143" s="3"/>
      <c r="D143" s="3"/>
      <c r="F143" s="9"/>
      <c r="G143" s="9"/>
    </row>
    <row r="144" spans="2:7" ht="18.75" customHeight="1" x14ac:dyDescent="0.25">
      <c r="B144" s="15"/>
      <c r="C144" s="3"/>
      <c r="D144" s="3"/>
      <c r="F144" s="9"/>
      <c r="G144" s="9"/>
    </row>
    <row r="145" spans="2:7" ht="18.75" customHeight="1" x14ac:dyDescent="0.25">
      <c r="B145" s="15"/>
      <c r="C145" s="3"/>
      <c r="D145" s="3"/>
      <c r="F145" s="9"/>
      <c r="G145" s="9"/>
    </row>
    <row r="146" spans="2:7" ht="18.75" customHeight="1" x14ac:dyDescent="0.25">
      <c r="B146" s="15"/>
      <c r="C146" s="3"/>
      <c r="D146" s="3"/>
      <c r="F146" s="9"/>
      <c r="G146" s="9"/>
    </row>
    <row r="147" spans="2:7" ht="18.75" customHeight="1" x14ac:dyDescent="0.25">
      <c r="B147" s="15"/>
      <c r="C147" s="3"/>
      <c r="D147" s="3"/>
      <c r="F147" s="9"/>
      <c r="G147" s="9"/>
    </row>
    <row r="148" spans="2:7" ht="18.75" customHeight="1" x14ac:dyDescent="0.25">
      <c r="B148" s="15"/>
      <c r="C148" s="3"/>
      <c r="D148" s="3"/>
      <c r="F148" s="9"/>
      <c r="G148" s="9"/>
    </row>
    <row r="149" spans="2:7" ht="18.75" customHeight="1" x14ac:dyDescent="0.25">
      <c r="B149" s="15"/>
      <c r="C149" s="3"/>
      <c r="D149" s="3"/>
      <c r="F149" s="9"/>
      <c r="G149" s="9"/>
    </row>
    <row r="150" spans="2:7" ht="18.75" customHeight="1" x14ac:dyDescent="0.25">
      <c r="B150" s="15"/>
      <c r="C150" s="3"/>
      <c r="D150" s="3"/>
      <c r="F150" s="9"/>
      <c r="G150" s="9"/>
    </row>
    <row r="151" spans="2:7" ht="18.75" customHeight="1" x14ac:dyDescent="0.25">
      <c r="B151" s="15"/>
      <c r="C151" s="3"/>
      <c r="D151" s="3"/>
      <c r="F151" s="9"/>
      <c r="G151" s="9"/>
    </row>
    <row r="152" spans="2:7" ht="18.75" customHeight="1" x14ac:dyDescent="0.25">
      <c r="B152" s="15"/>
      <c r="C152" s="3"/>
      <c r="D152" s="3"/>
      <c r="F152" s="9"/>
      <c r="G152" s="9"/>
    </row>
    <row r="153" spans="2:7" ht="18.75" customHeight="1" x14ac:dyDescent="0.25">
      <c r="B153" s="15"/>
      <c r="C153" s="3"/>
      <c r="D153" s="3"/>
      <c r="F153" s="9"/>
      <c r="G153" s="9"/>
    </row>
    <row r="154" spans="2:7" ht="18.75" customHeight="1" x14ac:dyDescent="0.25">
      <c r="B154" s="15"/>
      <c r="C154" s="3"/>
      <c r="D154" s="3"/>
      <c r="F154" s="9"/>
      <c r="G154" s="9"/>
    </row>
    <row r="155" spans="2:7" ht="18.75" customHeight="1" x14ac:dyDescent="0.25">
      <c r="B155" s="15"/>
      <c r="C155" s="3"/>
      <c r="D155" s="3"/>
      <c r="F155" s="9"/>
      <c r="G155" s="9"/>
    </row>
    <row r="156" spans="2:7" ht="18.75" customHeight="1" x14ac:dyDescent="0.25">
      <c r="B156" s="15"/>
      <c r="C156" s="3"/>
      <c r="D156" s="3"/>
      <c r="F156" s="9"/>
      <c r="G156" s="9"/>
    </row>
    <row r="157" spans="2:7" ht="18.75" customHeight="1" x14ac:dyDescent="0.25">
      <c r="B157" s="15"/>
      <c r="C157" s="3"/>
      <c r="D157" s="3"/>
      <c r="F157" s="9"/>
      <c r="G157" s="9"/>
    </row>
    <row r="158" spans="2:7" ht="18.75" customHeight="1" x14ac:dyDescent="0.25">
      <c r="B158" s="15"/>
      <c r="C158" s="3"/>
      <c r="D158" s="3"/>
      <c r="F158" s="9"/>
      <c r="G158" s="9"/>
    </row>
    <row r="159" spans="2:7" ht="18.75" customHeight="1" x14ac:dyDescent="0.25">
      <c r="B159" s="15"/>
      <c r="C159" s="3"/>
      <c r="D159" s="3"/>
      <c r="F159" s="9"/>
      <c r="G159" s="9"/>
    </row>
    <row r="160" spans="2:7" ht="18.75" customHeight="1" x14ac:dyDescent="0.25">
      <c r="B160" s="15"/>
      <c r="C160" s="3"/>
      <c r="D160" s="3"/>
      <c r="F160" s="9"/>
      <c r="G160" s="9"/>
    </row>
    <row r="161" spans="2:7" ht="18.75" customHeight="1" x14ac:dyDescent="0.25">
      <c r="B161" s="15"/>
      <c r="C161" s="3"/>
      <c r="D161" s="3"/>
      <c r="F161" s="9"/>
      <c r="G161" s="9"/>
    </row>
    <row r="162" spans="2:7" ht="18.75" customHeight="1" x14ac:dyDescent="0.25">
      <c r="B162" s="15"/>
      <c r="C162" s="3"/>
      <c r="D162" s="3"/>
      <c r="F162" s="9"/>
      <c r="G162" s="9"/>
    </row>
    <row r="163" spans="2:7" ht="18.75" customHeight="1" x14ac:dyDescent="0.25">
      <c r="B163" s="15"/>
      <c r="C163" s="3"/>
      <c r="D163" s="3"/>
      <c r="F163" s="9"/>
      <c r="G163" s="9"/>
    </row>
    <row r="164" spans="2:7" ht="18.75" customHeight="1" x14ac:dyDescent="0.25">
      <c r="B164" s="15"/>
      <c r="C164" s="3"/>
      <c r="D164" s="3"/>
      <c r="F164" s="9"/>
      <c r="G164" s="9"/>
    </row>
    <row r="165" spans="2:7" ht="18.75" customHeight="1" x14ac:dyDescent="0.25">
      <c r="B165" s="15"/>
      <c r="C165" s="3"/>
      <c r="D165" s="3"/>
      <c r="F165" s="9"/>
      <c r="G165" s="9"/>
    </row>
    <row r="166" spans="2:7" ht="18.75" customHeight="1" x14ac:dyDescent="0.25">
      <c r="B166" s="15"/>
      <c r="C166" s="3"/>
      <c r="D166" s="3"/>
      <c r="F166" s="9"/>
      <c r="G166" s="9"/>
    </row>
    <row r="167" spans="2:7" ht="18.75" customHeight="1" x14ac:dyDescent="0.25">
      <c r="B167" s="15"/>
      <c r="C167" s="3"/>
      <c r="D167" s="3"/>
      <c r="F167" s="9"/>
      <c r="G167" s="9"/>
    </row>
    <row r="168" spans="2:7" ht="18.75" customHeight="1" x14ac:dyDescent="0.25">
      <c r="B168" s="15"/>
      <c r="C168" s="3"/>
      <c r="D168" s="3"/>
      <c r="F168" s="9"/>
      <c r="G168" s="9"/>
    </row>
    <row r="169" spans="2:7" ht="18.75" customHeight="1" x14ac:dyDescent="0.25">
      <c r="B169" s="15"/>
      <c r="C169" s="3"/>
      <c r="D169" s="3"/>
      <c r="F169" s="9"/>
      <c r="G169" s="9"/>
    </row>
    <row r="170" spans="2:7" ht="18.75" customHeight="1" x14ac:dyDescent="0.25">
      <c r="B170" s="15"/>
      <c r="C170" s="3"/>
      <c r="D170" s="3"/>
      <c r="F170" s="9"/>
      <c r="G170" s="9"/>
    </row>
    <row r="171" spans="2:7" ht="18.75" customHeight="1" x14ac:dyDescent="0.25">
      <c r="B171" s="15"/>
      <c r="C171" s="3"/>
      <c r="D171" s="3"/>
      <c r="F171" s="9"/>
      <c r="G171" s="9"/>
    </row>
    <row r="172" spans="2:7" ht="18.75" customHeight="1" x14ac:dyDescent="0.25">
      <c r="B172" s="15"/>
      <c r="C172" s="3"/>
      <c r="D172" s="3"/>
      <c r="F172" s="9"/>
      <c r="G172" s="9"/>
    </row>
    <row r="173" spans="2:7" ht="18.75" customHeight="1" x14ac:dyDescent="0.25">
      <c r="B173" s="15"/>
      <c r="C173" s="3"/>
      <c r="D173" s="3"/>
      <c r="F173" s="9"/>
      <c r="G173" s="9"/>
    </row>
    <row r="174" spans="2:7" ht="18.75" customHeight="1" x14ac:dyDescent="0.25">
      <c r="B174" s="15"/>
      <c r="C174" s="3"/>
      <c r="D174" s="3"/>
      <c r="F174" s="9"/>
      <c r="G174" s="9"/>
    </row>
    <row r="175" spans="2:7" ht="18.75" customHeight="1" x14ac:dyDescent="0.25">
      <c r="B175" s="15"/>
      <c r="C175" s="3"/>
      <c r="D175" s="3"/>
      <c r="F175" s="9"/>
      <c r="G175" s="9"/>
    </row>
    <row r="176" spans="2:7" ht="18.75" customHeight="1" x14ac:dyDescent="0.25">
      <c r="B176" s="15"/>
      <c r="C176" s="3"/>
      <c r="D176" s="3"/>
      <c r="F176" s="9"/>
      <c r="G176" s="9"/>
    </row>
    <row r="177" spans="2:7" ht="18.75" customHeight="1" x14ac:dyDescent="0.25">
      <c r="B177" s="15"/>
      <c r="C177" s="3"/>
      <c r="D177" s="3"/>
      <c r="F177" s="9"/>
      <c r="G177" s="9"/>
    </row>
    <row r="178" spans="2:7" ht="18.75" customHeight="1" x14ac:dyDescent="0.25">
      <c r="B178" s="15"/>
      <c r="C178" s="3"/>
      <c r="D178" s="3"/>
      <c r="F178" s="9"/>
      <c r="G178" s="9"/>
    </row>
    <row r="179" spans="2:7" ht="18.75" customHeight="1" x14ac:dyDescent="0.25">
      <c r="B179" s="15"/>
      <c r="C179" s="3"/>
      <c r="D179" s="3"/>
      <c r="F179" s="9"/>
      <c r="G179" s="9"/>
    </row>
    <row r="180" spans="2:7" ht="18.75" customHeight="1" x14ac:dyDescent="0.25">
      <c r="B180" s="15"/>
      <c r="C180" s="3"/>
      <c r="D180" s="3"/>
      <c r="F180" s="9"/>
      <c r="G180" s="9"/>
    </row>
    <row r="181" spans="2:7" ht="18.75" customHeight="1" x14ac:dyDescent="0.25">
      <c r="B181" s="15"/>
      <c r="C181" s="3"/>
      <c r="D181" s="3"/>
      <c r="F181" s="9"/>
      <c r="G181" s="9"/>
    </row>
    <row r="182" spans="2:7" ht="18.75" customHeight="1" x14ac:dyDescent="0.25">
      <c r="B182" s="15"/>
      <c r="C182" s="3"/>
      <c r="D182" s="3"/>
      <c r="F182" s="9"/>
      <c r="G182" s="9"/>
    </row>
    <row r="183" spans="2:7" ht="18.75" customHeight="1" x14ac:dyDescent="0.25">
      <c r="B183" s="15"/>
      <c r="C183" s="3"/>
      <c r="D183" s="3"/>
      <c r="F183" s="9"/>
      <c r="G183" s="9"/>
    </row>
    <row r="184" spans="2:7" ht="18.75" customHeight="1" x14ac:dyDescent="0.25">
      <c r="B184" s="15"/>
      <c r="C184" s="3"/>
      <c r="D184" s="3"/>
      <c r="F184" s="9"/>
      <c r="G184" s="9"/>
    </row>
    <row r="185" spans="2:7" ht="18.75" customHeight="1" x14ac:dyDescent="0.25">
      <c r="B185" s="15"/>
      <c r="C185" s="3"/>
      <c r="D185" s="3"/>
      <c r="F185" s="9"/>
      <c r="G185" s="9"/>
    </row>
    <row r="186" spans="2:7" ht="18.75" customHeight="1" x14ac:dyDescent="0.25">
      <c r="B186" s="15"/>
      <c r="C186" s="3"/>
      <c r="D186" s="3"/>
      <c r="F186" s="9"/>
      <c r="G186" s="9"/>
    </row>
    <row r="187" spans="2:7" ht="18.75" customHeight="1" x14ac:dyDescent="0.25">
      <c r="B187" s="15"/>
      <c r="C187" s="3"/>
      <c r="D187" s="3"/>
      <c r="F187" s="9"/>
      <c r="G187" s="9"/>
    </row>
    <row r="188" spans="2:7" ht="18.75" customHeight="1" x14ac:dyDescent="0.25">
      <c r="B188" s="15"/>
      <c r="D188" s="3"/>
      <c r="F188" s="9"/>
      <c r="G188" s="9"/>
    </row>
    <row r="189" spans="2:7" ht="18.75" customHeight="1" x14ac:dyDescent="0.25">
      <c r="B189" s="15"/>
      <c r="D189" s="3"/>
      <c r="F189" s="9"/>
      <c r="G189" s="9"/>
    </row>
    <row r="190" spans="2:7" ht="18.75" customHeight="1" x14ac:dyDescent="0.25">
      <c r="B190" s="15"/>
      <c r="D190" s="3"/>
      <c r="F190" s="9"/>
      <c r="G190" s="9"/>
    </row>
    <row r="191" spans="2:7" ht="18.75" customHeight="1" x14ac:dyDescent="0.25">
      <c r="B191" s="15"/>
      <c r="D191" s="3"/>
      <c r="F191" s="9"/>
      <c r="G191" s="9"/>
    </row>
    <row r="192" spans="2:7" ht="18.75" customHeight="1" x14ac:dyDescent="0.25">
      <c r="B192" s="15"/>
      <c r="D192" s="3"/>
      <c r="F192" s="9"/>
      <c r="G192" s="9"/>
    </row>
    <row r="193" spans="2:7" ht="18.75" customHeight="1" x14ac:dyDescent="0.25">
      <c r="B193" s="15"/>
      <c r="D193" s="3"/>
      <c r="F193" s="9"/>
      <c r="G193" s="9"/>
    </row>
    <row r="194" spans="2:7" ht="18.75" customHeight="1" x14ac:dyDescent="0.25">
      <c r="B194" s="15"/>
      <c r="D194" s="3"/>
      <c r="F194" s="9"/>
      <c r="G194" s="9"/>
    </row>
    <row r="195" spans="2:7" ht="18.75" customHeight="1" x14ac:dyDescent="0.25">
      <c r="B195" s="15"/>
      <c r="D195" s="3"/>
      <c r="F195" s="9"/>
      <c r="G195" s="9"/>
    </row>
    <row r="196" spans="2:7" ht="18.75" customHeight="1" x14ac:dyDescent="0.25">
      <c r="B196" s="15"/>
      <c r="D196" s="3"/>
      <c r="F196" s="9"/>
      <c r="G196" s="9"/>
    </row>
    <row r="197" spans="2:7" ht="18.75" customHeight="1" x14ac:dyDescent="0.25">
      <c r="B197" s="15"/>
      <c r="D197" s="3"/>
      <c r="F197" s="9"/>
      <c r="G197" s="9"/>
    </row>
    <row r="198" spans="2:7" ht="18.75" customHeight="1" x14ac:dyDescent="0.25">
      <c r="B198" s="15"/>
      <c r="D198" s="3"/>
      <c r="F198" s="9"/>
      <c r="G198" s="9"/>
    </row>
    <row r="199" spans="2:7" ht="18.75" customHeight="1" x14ac:dyDescent="0.25">
      <c r="B199" s="15"/>
      <c r="D199" s="3"/>
      <c r="F199" s="9"/>
      <c r="G199" s="9"/>
    </row>
    <row r="200" spans="2:7" ht="18.75" customHeight="1" x14ac:dyDescent="0.25">
      <c r="B200" s="15"/>
      <c r="D200" s="3"/>
      <c r="F200" s="9"/>
      <c r="G200" s="9"/>
    </row>
    <row r="201" spans="2:7" ht="18.75" customHeight="1" x14ac:dyDescent="0.25">
      <c r="B201" s="15"/>
      <c r="D201" s="3"/>
      <c r="F201" s="9"/>
      <c r="G201" s="9"/>
    </row>
    <row r="202" spans="2:7" ht="18.75" customHeight="1" x14ac:dyDescent="0.25">
      <c r="B202" s="15"/>
      <c r="D202" s="3"/>
      <c r="F202" s="9"/>
      <c r="G202" s="9"/>
    </row>
    <row r="203" spans="2:7" ht="18.75" customHeight="1" x14ac:dyDescent="0.25">
      <c r="B203" s="15"/>
      <c r="D203" s="3"/>
      <c r="F203" s="9"/>
      <c r="G203" s="9"/>
    </row>
    <row r="204" spans="2:7" ht="18.75" customHeight="1" x14ac:dyDescent="0.25">
      <c r="B204" s="15"/>
      <c r="D204" s="3"/>
      <c r="F204" s="9"/>
      <c r="G204" s="9"/>
    </row>
    <row r="205" spans="2:7" ht="18.75" customHeight="1" x14ac:dyDescent="0.25">
      <c r="B205" s="15"/>
      <c r="D205" s="3"/>
      <c r="F205" s="9"/>
      <c r="G205" s="9"/>
    </row>
    <row r="206" spans="2:7" ht="18.75" customHeight="1" x14ac:dyDescent="0.25">
      <c r="B206" s="15"/>
      <c r="D206" s="3"/>
      <c r="F206" s="9"/>
      <c r="G206" s="9"/>
    </row>
    <row r="207" spans="2:7" ht="18.75" customHeight="1" x14ac:dyDescent="0.25">
      <c r="B207" s="15"/>
      <c r="D207" s="3"/>
      <c r="F207" s="9"/>
      <c r="G207" s="9"/>
    </row>
    <row r="208" spans="2:7" ht="18.75" customHeight="1" x14ac:dyDescent="0.25">
      <c r="B208" s="15"/>
      <c r="D208" s="3"/>
      <c r="F208" s="9"/>
      <c r="G208" s="9"/>
    </row>
    <row r="209" spans="2:7" ht="18.75" customHeight="1" x14ac:dyDescent="0.25">
      <c r="B209" s="15"/>
      <c r="D209" s="3"/>
      <c r="F209" s="9"/>
      <c r="G209" s="9"/>
    </row>
    <row r="210" spans="2:7" ht="18.75" customHeight="1" x14ac:dyDescent="0.25">
      <c r="B210" s="15"/>
      <c r="D210" s="3"/>
      <c r="F210" s="9"/>
      <c r="G210" s="9"/>
    </row>
    <row r="211" spans="2:7" ht="18.75" customHeight="1" x14ac:dyDescent="0.25">
      <c r="B211" s="15"/>
      <c r="D211" s="3"/>
      <c r="F211" s="9"/>
      <c r="G211" s="9"/>
    </row>
    <row r="212" spans="2:7" ht="18.75" customHeight="1" x14ac:dyDescent="0.25">
      <c r="B212" s="15"/>
      <c r="D212" s="3"/>
      <c r="F212" s="9"/>
      <c r="G212" s="9"/>
    </row>
    <row r="213" spans="2:7" ht="18.75" customHeight="1" x14ac:dyDescent="0.25">
      <c r="B213" s="15"/>
      <c r="D213" s="3"/>
      <c r="F213" s="9"/>
      <c r="G213" s="9"/>
    </row>
    <row r="214" spans="2:7" ht="18.75" customHeight="1" x14ac:dyDescent="0.25">
      <c r="B214" s="15"/>
      <c r="D214" s="3"/>
      <c r="F214" s="9"/>
      <c r="G214" s="9"/>
    </row>
    <row r="215" spans="2:7" ht="18.75" customHeight="1" x14ac:dyDescent="0.25">
      <c r="B215" s="15"/>
      <c r="D215" s="3"/>
      <c r="F215" s="9"/>
      <c r="G215" s="9"/>
    </row>
    <row r="216" spans="2:7" ht="18.75" customHeight="1" x14ac:dyDescent="0.25">
      <c r="B216" s="15"/>
      <c r="D216" s="3"/>
      <c r="F216" s="9"/>
      <c r="G216" s="9"/>
    </row>
    <row r="217" spans="2:7" ht="18.75" customHeight="1" x14ac:dyDescent="0.25">
      <c r="B217" s="15"/>
      <c r="D217" s="3"/>
      <c r="F217" s="9"/>
      <c r="G217" s="9"/>
    </row>
    <row r="218" spans="2:7" ht="18.75" customHeight="1" x14ac:dyDescent="0.25">
      <c r="B218" s="15"/>
      <c r="D218" s="3"/>
      <c r="F218" s="9"/>
      <c r="G218" s="9"/>
    </row>
    <row r="219" spans="2:7" ht="18.75" customHeight="1" x14ac:dyDescent="0.25">
      <c r="B219" s="15"/>
      <c r="D219" s="3"/>
      <c r="F219" s="9"/>
      <c r="G219" s="9"/>
    </row>
    <row r="220" spans="2:7" ht="18.75" customHeight="1" x14ac:dyDescent="0.25">
      <c r="B220" s="15"/>
      <c r="D220" s="3"/>
      <c r="F220" s="9"/>
      <c r="G220" s="9"/>
    </row>
    <row r="221" spans="2:7" ht="18.75" customHeight="1" x14ac:dyDescent="0.25">
      <c r="B221" s="15"/>
      <c r="D221" s="3"/>
      <c r="F221" s="9"/>
      <c r="G221" s="9"/>
    </row>
    <row r="222" spans="2:7" ht="18.75" customHeight="1" x14ac:dyDescent="0.25">
      <c r="B222" s="15"/>
      <c r="D222" s="3"/>
      <c r="F222" s="9"/>
      <c r="G222" s="9"/>
    </row>
    <row r="223" spans="2:7" ht="18.75" customHeight="1" x14ac:dyDescent="0.25">
      <c r="B223" s="15"/>
      <c r="D223" s="3"/>
      <c r="F223" s="9"/>
      <c r="G223" s="9"/>
    </row>
    <row r="224" spans="2:7" ht="18.75" customHeight="1" x14ac:dyDescent="0.25">
      <c r="B224" s="15"/>
      <c r="D224" s="3"/>
      <c r="F224" s="9"/>
      <c r="G224" s="9"/>
    </row>
    <row r="225" spans="2:7" ht="18.75" customHeight="1" x14ac:dyDescent="0.25">
      <c r="B225" s="15"/>
      <c r="D225" s="3"/>
      <c r="F225" s="9"/>
      <c r="G225" s="9"/>
    </row>
    <row r="226" spans="2:7" ht="18.75" customHeight="1" x14ac:dyDescent="0.25">
      <c r="B226" s="15"/>
      <c r="D226" s="3"/>
      <c r="F226" s="9"/>
      <c r="G226" s="9"/>
    </row>
    <row r="227" spans="2:7" ht="18.75" customHeight="1" x14ac:dyDescent="0.25">
      <c r="B227" s="15"/>
      <c r="D227" s="3"/>
      <c r="F227" s="9"/>
      <c r="G227" s="9"/>
    </row>
    <row r="228" spans="2:7" ht="18.75" customHeight="1" x14ac:dyDescent="0.25">
      <c r="B228" s="15"/>
      <c r="D228" s="3"/>
      <c r="F228" s="9"/>
      <c r="G228" s="9"/>
    </row>
    <row r="229" spans="2:7" ht="18.75" customHeight="1" x14ac:dyDescent="0.25">
      <c r="B229" s="15"/>
      <c r="D229" s="3"/>
      <c r="F229" s="9"/>
      <c r="G229" s="9"/>
    </row>
    <row r="230" spans="2:7" ht="18.75" customHeight="1" x14ac:dyDescent="0.25">
      <c r="B230" s="15"/>
      <c r="D230" s="3"/>
      <c r="F230" s="9"/>
      <c r="G230" s="9"/>
    </row>
    <row r="231" spans="2:7" ht="18.75" customHeight="1" x14ac:dyDescent="0.25">
      <c r="B231" s="15"/>
      <c r="D231" s="3"/>
      <c r="F231" s="9"/>
      <c r="G231" s="9"/>
    </row>
    <row r="232" spans="2:7" ht="18.75" customHeight="1" x14ac:dyDescent="0.25">
      <c r="B232" s="15"/>
      <c r="D232" s="3"/>
      <c r="F232" s="9"/>
      <c r="G232" s="9"/>
    </row>
    <row r="233" spans="2:7" ht="18.75" customHeight="1" x14ac:dyDescent="0.25">
      <c r="B233" s="15"/>
      <c r="D233" s="3"/>
      <c r="F233" s="9"/>
      <c r="G233" s="9"/>
    </row>
    <row r="234" spans="2:7" ht="18.75" customHeight="1" x14ac:dyDescent="0.25">
      <c r="D234" s="3"/>
    </row>
    <row r="235" spans="2:7" ht="18.75" customHeight="1" x14ac:dyDescent="0.25">
      <c r="D235" s="3"/>
    </row>
    <row r="236" spans="2:7" ht="18.75" customHeight="1" x14ac:dyDescent="0.25">
      <c r="D236" s="3"/>
    </row>
    <row r="237" spans="2:7" ht="18.75" customHeight="1" x14ac:dyDescent="0.25">
      <c r="D237" s="3"/>
    </row>
    <row r="238" spans="2:7" ht="18.75" customHeight="1" x14ac:dyDescent="0.25">
      <c r="D238" s="3"/>
    </row>
    <row r="239" spans="2:7" ht="18.75" customHeight="1" x14ac:dyDescent="0.25">
      <c r="D239" s="3"/>
    </row>
    <row r="240" spans="2:7" ht="18.75" customHeight="1" x14ac:dyDescent="0.25">
      <c r="D240" s="3"/>
    </row>
    <row r="241" spans="4:4" ht="18.75" customHeight="1" x14ac:dyDescent="0.25">
      <c r="D241" s="3"/>
    </row>
    <row r="242" spans="4:4" ht="18.75" customHeight="1" x14ac:dyDescent="0.25">
      <c r="D2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B307"/>
  <sheetViews>
    <sheetView topLeftCell="A3" workbookViewId="0">
      <selection activeCell="D6" sqref="D6"/>
    </sheetView>
  </sheetViews>
  <sheetFormatPr defaultColWidth="8.85546875" defaultRowHeight="15" x14ac:dyDescent="0.25"/>
  <cols>
    <col min="1" max="2" width="12" style="39" bestFit="1" customWidth="1"/>
    <col min="3" max="3" width="12" style="39" customWidth="1"/>
    <col min="4" max="4" width="12" style="41" bestFit="1" customWidth="1"/>
    <col min="5" max="5" width="12" style="39" bestFit="1" customWidth="1"/>
    <col min="6" max="6" width="12" style="39" customWidth="1"/>
    <col min="7" max="7" width="11.140625" style="30" bestFit="1" customWidth="1"/>
    <col min="8" max="8" width="13" style="30" bestFit="1" customWidth="1"/>
    <col min="9" max="9" width="6" style="30" customWidth="1"/>
    <col min="10" max="10" width="8.85546875" style="30" customWidth="1"/>
    <col min="11" max="12" width="12" style="39" bestFit="1" customWidth="1"/>
    <col min="13" max="13" width="12" style="30" bestFit="1" customWidth="1"/>
    <col min="14" max="14" width="12" style="41" bestFit="1" customWidth="1"/>
    <col min="15" max="15" width="8.7109375" style="39" bestFit="1" customWidth="1"/>
    <col min="16" max="16" width="12" style="30" bestFit="1" customWidth="1"/>
    <col min="17" max="17" width="10.140625" style="41" customWidth="1"/>
    <col min="18" max="18" width="15.85546875" style="30" customWidth="1"/>
    <col min="19" max="19" width="14.85546875" style="30" customWidth="1"/>
    <col min="20" max="20" width="12.42578125" style="41" bestFit="1" customWidth="1"/>
    <col min="21" max="21" width="12.42578125" style="39" bestFit="1" customWidth="1"/>
    <col min="22" max="22" width="12.42578125" style="41" bestFit="1" customWidth="1"/>
    <col min="23" max="23" width="13" style="30" bestFit="1" customWidth="1"/>
    <col min="24" max="24" width="33.140625" style="39" bestFit="1" customWidth="1"/>
    <col min="25" max="25" width="29.7109375" style="41" bestFit="1" customWidth="1"/>
    <col min="26" max="26" width="6.85546875" style="41" customWidth="1"/>
    <col min="27" max="27" width="9.28515625" style="41" customWidth="1"/>
    <col min="28" max="28" width="16.42578125" style="30" customWidth="1"/>
  </cols>
  <sheetData>
    <row r="1" spans="1:28" ht="15.95" customHeight="1" thickBot="1" x14ac:dyDescent="0.3">
      <c r="A1" s="49" t="s">
        <v>334</v>
      </c>
      <c r="B1" s="47"/>
      <c r="C1" s="47"/>
      <c r="D1" s="47"/>
      <c r="E1" s="47"/>
      <c r="F1" s="47"/>
      <c r="G1" s="47"/>
      <c r="H1" s="47"/>
      <c r="I1" s="45"/>
      <c r="K1" s="48" t="s">
        <v>335</v>
      </c>
      <c r="L1" s="45"/>
      <c r="N1" s="51" t="s">
        <v>336</v>
      </c>
      <c r="O1" s="45"/>
      <c r="Q1" s="44" t="s">
        <v>337</v>
      </c>
      <c r="R1" s="45"/>
      <c r="T1" s="46" t="s">
        <v>338</v>
      </c>
      <c r="U1" s="47"/>
      <c r="V1" s="47"/>
      <c r="W1" s="47"/>
      <c r="X1" s="47"/>
      <c r="Y1" s="45"/>
      <c r="AA1" s="50" t="s">
        <v>339</v>
      </c>
      <c r="AB1" s="45"/>
    </row>
    <row r="2" spans="1:28" ht="18.75" customHeight="1" thickBot="1" x14ac:dyDescent="0.3">
      <c r="A2" s="31" t="s">
        <v>340</v>
      </c>
      <c r="B2" s="32" t="s">
        <v>341</v>
      </c>
      <c r="C2" s="33"/>
      <c r="D2" s="34" t="s">
        <v>340</v>
      </c>
      <c r="E2" s="32" t="s">
        <v>342</v>
      </c>
      <c r="F2" s="33"/>
      <c r="G2" s="35" t="s">
        <v>2</v>
      </c>
      <c r="H2" s="36" t="s">
        <v>343</v>
      </c>
      <c r="I2" s="37" t="s">
        <v>4</v>
      </c>
      <c r="K2" s="31" t="s">
        <v>340</v>
      </c>
      <c r="L2" s="32" t="s">
        <v>344</v>
      </c>
      <c r="N2" s="34" t="s">
        <v>340</v>
      </c>
      <c r="O2" s="32" t="s">
        <v>342</v>
      </c>
      <c r="Q2" s="34" t="s">
        <v>340</v>
      </c>
      <c r="R2" s="37" t="s">
        <v>343</v>
      </c>
      <c r="T2" s="34" t="s">
        <v>345</v>
      </c>
      <c r="U2" s="42" t="s">
        <v>324</v>
      </c>
      <c r="V2" s="43" t="s">
        <v>346</v>
      </c>
      <c r="W2" s="36" t="s">
        <v>343</v>
      </c>
      <c r="X2" s="42" t="s">
        <v>347</v>
      </c>
      <c r="Y2" s="38" t="s">
        <v>348</v>
      </c>
      <c r="Z2" s="40"/>
      <c r="AA2" s="34" t="s">
        <v>349</v>
      </c>
      <c r="AB2" s="37" t="s">
        <v>343</v>
      </c>
    </row>
    <row r="3" spans="1:28" ht="18.75" customHeight="1" x14ac:dyDescent="0.25">
      <c r="A3" s="33">
        <v>3.7133322986186501</v>
      </c>
      <c r="B3" s="33">
        <v>1573.5294117646999</v>
      </c>
      <c r="C3" s="33"/>
      <c r="D3" s="33">
        <v>5.5</v>
      </c>
      <c r="E3" s="33">
        <v>147.601</v>
      </c>
      <c r="F3" s="33"/>
      <c r="G3" s="30">
        <v>1.5</v>
      </c>
      <c r="H3" s="30" t="s">
        <v>15</v>
      </c>
      <c r="I3" s="30">
        <v>5</v>
      </c>
      <c r="K3" s="33">
        <v>3.7133322986186501</v>
      </c>
      <c r="L3" s="33">
        <f t="shared" ref="L3:L34" si="0">3.041*B3^0.25</f>
        <v>19.152926250398615</v>
      </c>
      <c r="N3" s="33">
        <v>5.5</v>
      </c>
      <c r="Q3" s="33">
        <v>5.5</v>
      </c>
      <c r="R3" s="30" t="str">
        <f t="shared" ref="R3:R66" si="1">_xlfn.XLOOKUP(N3,$AA$3:$AA$307,$AB$3:$AB$307)</f>
        <v>ML-CL-1</v>
      </c>
      <c r="T3" s="33">
        <v>1.5</v>
      </c>
      <c r="U3" s="40">
        <v>0</v>
      </c>
      <c r="V3" s="33">
        <f t="shared" ref="V3:V35" si="2">U4</f>
        <v>1.5</v>
      </c>
      <c r="W3" s="30" t="s">
        <v>15</v>
      </c>
      <c r="X3" s="33">
        <f t="shared" ref="X3:X34" si="3">IF(OR(W3="asphalt",W3="CL-1",W3="SP-SM-1",W3="SM-1",W3="ML-CL-1"),147.601,AVERAGEIF($R$3:$R$295,W3,$O$3:$O$294))</f>
        <v>147.601</v>
      </c>
      <c r="Y3" s="40">
        <v>20</v>
      </c>
      <c r="Z3" s="40"/>
      <c r="AA3" s="40">
        <v>0</v>
      </c>
      <c r="AB3" s="30" t="str">
        <f t="array" ref="AB3">INDEX($W$3:$W$34, MATCH(1, (AA3&gt;=$U$3:$U$34) * (AA3&lt;$V$3:$V$34), 0))</f>
        <v>asphalt</v>
      </c>
    </row>
    <row r="4" spans="1:28" ht="18.75" customHeight="1" x14ac:dyDescent="0.25">
      <c r="A4" s="33">
        <v>5.7155051994412602</v>
      </c>
      <c r="B4" s="33">
        <v>1661.76470588235</v>
      </c>
      <c r="C4" s="33"/>
      <c r="D4" s="40">
        <v>6</v>
      </c>
      <c r="E4" s="33">
        <v>136.98599999999999</v>
      </c>
      <c r="F4" s="33"/>
      <c r="G4" s="30">
        <v>1</v>
      </c>
      <c r="H4" s="30" t="s">
        <v>350</v>
      </c>
      <c r="I4" s="30">
        <v>20</v>
      </c>
      <c r="K4" s="33">
        <v>5.7155051994412602</v>
      </c>
      <c r="L4" s="33">
        <f t="shared" si="0"/>
        <v>19.415957059631971</v>
      </c>
      <c r="N4" s="40">
        <v>6</v>
      </c>
      <c r="O4" s="33">
        <f t="shared" ref="O4:O67" si="4">AVERAGE(E3:E5)</f>
        <v>142.65200000000002</v>
      </c>
      <c r="Q4" s="40">
        <v>6</v>
      </c>
      <c r="R4" s="30" t="str">
        <f t="shared" si="1"/>
        <v>CL-2</v>
      </c>
      <c r="T4" s="40">
        <v>1</v>
      </c>
      <c r="U4" s="33">
        <f t="shared" ref="U4:U35" si="5">U3+T3</f>
        <v>1.5</v>
      </c>
      <c r="V4" s="33">
        <f t="shared" si="2"/>
        <v>2.5</v>
      </c>
      <c r="W4" s="30" t="s">
        <v>16</v>
      </c>
      <c r="X4" s="33">
        <f t="shared" si="3"/>
        <v>147.601</v>
      </c>
      <c r="Y4" s="40">
        <v>18</v>
      </c>
      <c r="Z4" s="40"/>
      <c r="AA4" s="33">
        <v>0.5</v>
      </c>
      <c r="AB4" s="30" t="str">
        <f t="array" ref="AB4">INDEX($W$3:$W$34, MATCH(1, (AA4&gt;=$U$3:$U$34) * (AA4&lt;$V$3:$V$34), 0))</f>
        <v>asphalt</v>
      </c>
    </row>
    <row r="5" spans="1:28" ht="18.75" customHeight="1" x14ac:dyDescent="0.25">
      <c r="A5" s="33">
        <v>7.6788762998603204</v>
      </c>
      <c r="B5" s="33">
        <v>1602.9411764705801</v>
      </c>
      <c r="C5" s="33"/>
      <c r="D5" s="33">
        <v>6.5</v>
      </c>
      <c r="E5" s="33">
        <v>143.369</v>
      </c>
      <c r="F5" s="33"/>
      <c r="G5" s="30">
        <v>1</v>
      </c>
      <c r="H5" s="30" t="s">
        <v>351</v>
      </c>
      <c r="I5" s="30">
        <v>5</v>
      </c>
      <c r="K5" s="33">
        <v>7.6788762998603204</v>
      </c>
      <c r="L5" s="33">
        <f t="shared" si="0"/>
        <v>19.241805325147897</v>
      </c>
      <c r="N5" s="33">
        <v>6.5</v>
      </c>
      <c r="O5" s="33">
        <f t="shared" si="4"/>
        <v>149.23966666666669</v>
      </c>
      <c r="Q5" s="33">
        <v>6.5</v>
      </c>
      <c r="R5" s="30" t="str">
        <f t="shared" si="1"/>
        <v>CL-2</v>
      </c>
      <c r="T5" s="40">
        <v>1</v>
      </c>
      <c r="U5" s="33">
        <f t="shared" si="5"/>
        <v>2.5</v>
      </c>
      <c r="V5" s="33">
        <f t="shared" si="2"/>
        <v>3.5</v>
      </c>
      <c r="W5" s="30" t="s">
        <v>17</v>
      </c>
      <c r="X5" s="33">
        <f t="shared" si="3"/>
        <v>147.601</v>
      </c>
      <c r="Y5" s="40">
        <v>19</v>
      </c>
      <c r="Z5" s="40"/>
      <c r="AA5" s="40">
        <v>1</v>
      </c>
      <c r="AB5" s="30" t="str">
        <f t="array" ref="AB5">INDEX($W$3:$W$34, MATCH(1, (AA5&gt;=$U$3:$U$34) * (AA5&lt;$V$3:$V$34), 0))</f>
        <v>asphalt</v>
      </c>
    </row>
    <row r="6" spans="1:28" ht="18.75" customHeight="1" x14ac:dyDescent="0.25">
      <c r="A6" s="33">
        <v>9.0175384137824004</v>
      </c>
      <c r="B6" s="33">
        <v>1676.4705882352901</v>
      </c>
      <c r="C6" s="33"/>
      <c r="D6" s="40">
        <v>7</v>
      </c>
      <c r="E6" s="33">
        <v>167.364</v>
      </c>
      <c r="F6" s="33"/>
      <c r="G6" s="30">
        <v>1</v>
      </c>
      <c r="H6" s="30" t="s">
        <v>352</v>
      </c>
      <c r="I6" s="30">
        <v>5</v>
      </c>
      <c r="K6" s="33">
        <v>9.0175384137824004</v>
      </c>
      <c r="L6" s="33">
        <f t="shared" si="0"/>
        <v>19.458770896323788</v>
      </c>
      <c r="N6" s="40">
        <v>7</v>
      </c>
      <c r="O6" s="33">
        <f t="shared" si="4"/>
        <v>160.80233333333334</v>
      </c>
      <c r="Q6" s="40">
        <v>7</v>
      </c>
      <c r="R6" s="30" t="str">
        <f t="shared" si="1"/>
        <v>CL-2</v>
      </c>
      <c r="T6" s="40">
        <v>1</v>
      </c>
      <c r="U6" s="33">
        <f t="shared" si="5"/>
        <v>3.5</v>
      </c>
      <c r="V6" s="33">
        <f t="shared" si="2"/>
        <v>4.5</v>
      </c>
      <c r="W6" s="30" t="s">
        <v>18</v>
      </c>
      <c r="X6" s="33">
        <f t="shared" si="3"/>
        <v>147.601</v>
      </c>
      <c r="Y6" s="40">
        <v>19</v>
      </c>
      <c r="Z6" s="40"/>
      <c r="AA6" s="33">
        <v>1.5</v>
      </c>
      <c r="AB6" s="30" t="str">
        <f t="array" ref="AB6">INDEX($W$3:$W$34, MATCH(1, (AA6&gt;=$U$3:$U$34) * (AA6&lt;$V$3:$V$34), 0))</f>
        <v>CL-1</v>
      </c>
    </row>
    <row r="7" spans="1:28" ht="18.75" customHeight="1" x14ac:dyDescent="0.25">
      <c r="A7" s="33">
        <v>12.288530187800699</v>
      </c>
      <c r="B7" s="33">
        <v>1573.5294117646999</v>
      </c>
      <c r="C7" s="33"/>
      <c r="D7" s="33">
        <v>7.5</v>
      </c>
      <c r="E7" s="33">
        <v>171.67400000000001</v>
      </c>
      <c r="F7" s="33"/>
      <c r="G7" s="30">
        <v>1.5</v>
      </c>
      <c r="H7" s="30" t="s">
        <v>353</v>
      </c>
      <c r="I7" s="30">
        <v>5</v>
      </c>
      <c r="K7" s="33">
        <v>12.288530187800699</v>
      </c>
      <c r="L7" s="33">
        <f t="shared" si="0"/>
        <v>19.152926250398615</v>
      </c>
      <c r="N7" s="33">
        <v>7.5</v>
      </c>
      <c r="O7" s="33">
        <f t="shared" si="4"/>
        <v>168.33766666666668</v>
      </c>
      <c r="Q7" s="33">
        <v>7.5</v>
      </c>
      <c r="R7" s="30" t="str">
        <f t="shared" si="1"/>
        <v>CL-2</v>
      </c>
      <c r="T7" s="33">
        <v>1.5</v>
      </c>
      <c r="U7" s="33">
        <f t="shared" si="5"/>
        <v>4.5</v>
      </c>
      <c r="V7" s="40">
        <f t="shared" si="2"/>
        <v>6</v>
      </c>
      <c r="W7" s="30" t="s">
        <v>19</v>
      </c>
      <c r="X7" s="33">
        <f t="shared" si="3"/>
        <v>147.601</v>
      </c>
      <c r="Y7" s="40">
        <v>19</v>
      </c>
      <c r="Z7" s="40"/>
      <c r="AA7" s="40">
        <v>2</v>
      </c>
      <c r="AB7" s="30" t="str">
        <f t="array" ref="AB7">INDEX($W$3:$W$34, MATCH(1, (AA7&gt;=$U$3:$U$34) * (AA7&lt;$V$3:$V$34), 0))</f>
        <v>CL-1</v>
      </c>
    </row>
    <row r="8" spans="1:28" ht="18.75" customHeight="1" x14ac:dyDescent="0.25">
      <c r="A8" s="33">
        <v>14.938693155362399</v>
      </c>
      <c r="B8" s="33">
        <v>1617.64705882352</v>
      </c>
      <c r="C8" s="33"/>
      <c r="D8" s="40">
        <v>8</v>
      </c>
      <c r="E8" s="33">
        <v>165.97499999999999</v>
      </c>
      <c r="F8" s="33"/>
      <c r="G8" s="30">
        <v>5.5</v>
      </c>
      <c r="H8" s="30" t="s">
        <v>350</v>
      </c>
      <c r="I8" s="30">
        <v>20</v>
      </c>
      <c r="K8" s="33">
        <v>14.938693155362399</v>
      </c>
      <c r="L8" s="33">
        <f t="shared" si="0"/>
        <v>19.285786881362693</v>
      </c>
      <c r="N8" s="40">
        <v>8</v>
      </c>
      <c r="O8" s="33">
        <f t="shared" si="4"/>
        <v>168.10533333333333</v>
      </c>
      <c r="Q8" s="40">
        <v>8</v>
      </c>
      <c r="R8" s="30" t="str">
        <f t="shared" si="1"/>
        <v>CL-2</v>
      </c>
      <c r="T8" s="33">
        <v>5.5</v>
      </c>
      <c r="U8" s="40">
        <f t="shared" si="5"/>
        <v>6</v>
      </c>
      <c r="V8" s="33">
        <f t="shared" si="2"/>
        <v>11.5</v>
      </c>
      <c r="W8" s="30" t="s">
        <v>20</v>
      </c>
      <c r="X8" s="33">
        <f t="shared" ca="1" si="3"/>
        <v>165.5150909090909</v>
      </c>
      <c r="Y8" s="40">
        <v>19</v>
      </c>
      <c r="Z8" s="40"/>
      <c r="AA8" s="33">
        <v>2.5</v>
      </c>
      <c r="AB8" s="30" t="str">
        <f t="array" ref="AB8">INDEX($W$3:$W$34, MATCH(1, (AA8&gt;=$U$3:$U$34) * (AA8&lt;$V$3:$V$34), 0))</f>
        <v>SP-SM-1</v>
      </c>
    </row>
    <row r="9" spans="1:28" ht="18.75" customHeight="1" x14ac:dyDescent="0.25">
      <c r="A9" s="33">
        <v>16.267654819183601</v>
      </c>
      <c r="B9" s="33">
        <v>1654.4117647058799</v>
      </c>
      <c r="C9" s="33"/>
      <c r="D9" s="33">
        <v>8.5</v>
      </c>
      <c r="E9" s="33">
        <v>166.667</v>
      </c>
      <c r="F9" s="33"/>
      <c r="G9" s="30">
        <v>3.5</v>
      </c>
      <c r="H9" s="30" t="s">
        <v>21</v>
      </c>
      <c r="I9" s="30">
        <v>5</v>
      </c>
      <c r="K9" s="33">
        <v>16.267654819183601</v>
      </c>
      <c r="L9" s="33">
        <f t="shared" si="0"/>
        <v>19.394443500769523</v>
      </c>
      <c r="N9" s="33">
        <v>8.5</v>
      </c>
      <c r="O9" s="33">
        <f t="shared" si="4"/>
        <v>156.232</v>
      </c>
      <c r="Q9" s="33">
        <v>8.5</v>
      </c>
      <c r="R9" s="30" t="str">
        <f t="shared" si="1"/>
        <v>CL-2</v>
      </c>
      <c r="T9" s="33">
        <v>3.5</v>
      </c>
      <c r="U9" s="33">
        <f t="shared" si="5"/>
        <v>11.5</v>
      </c>
      <c r="V9" s="40">
        <f t="shared" si="2"/>
        <v>15</v>
      </c>
      <c r="W9" s="30" t="s">
        <v>21</v>
      </c>
      <c r="X9" s="33">
        <f t="shared" ca="1" si="3"/>
        <v>192.94757142857148</v>
      </c>
      <c r="Y9" s="40">
        <v>20</v>
      </c>
      <c r="Z9" s="40"/>
      <c r="AA9" s="40">
        <v>3</v>
      </c>
      <c r="AB9" s="30" t="str">
        <f t="array" ref="AB9">INDEX($W$3:$W$34, MATCH(1, (AA9&gt;=$U$3:$U$34) * (AA9&lt;$V$3:$V$34), 0))</f>
        <v>SP-SM-1</v>
      </c>
    </row>
    <row r="10" spans="1:28" ht="18.75" customHeight="1" x14ac:dyDescent="0.25">
      <c r="A10" s="33">
        <v>19.5561074033835</v>
      </c>
      <c r="B10" s="33">
        <v>1617.64705882352</v>
      </c>
      <c r="C10" s="33"/>
      <c r="D10" s="40">
        <v>9</v>
      </c>
      <c r="E10" s="33">
        <v>136.054</v>
      </c>
      <c r="F10" s="33"/>
      <c r="G10" s="30">
        <v>3.5</v>
      </c>
      <c r="H10" s="30" t="s">
        <v>353</v>
      </c>
      <c r="I10" s="30">
        <v>5</v>
      </c>
      <c r="K10" s="33">
        <v>19.5561074033835</v>
      </c>
      <c r="L10" s="33">
        <f t="shared" si="0"/>
        <v>19.285786881362693</v>
      </c>
      <c r="N10" s="40">
        <v>9</v>
      </c>
      <c r="O10" s="33">
        <f t="shared" si="4"/>
        <v>162.06899999999999</v>
      </c>
      <c r="Q10" s="40">
        <v>9</v>
      </c>
      <c r="R10" s="30" t="str">
        <f t="shared" si="1"/>
        <v>CL-2</v>
      </c>
      <c r="T10" s="33">
        <v>3.5</v>
      </c>
      <c r="U10" s="40">
        <f t="shared" si="5"/>
        <v>15</v>
      </c>
      <c r="V10" s="33">
        <f t="shared" si="2"/>
        <v>18.5</v>
      </c>
      <c r="W10" s="30" t="s">
        <v>22</v>
      </c>
      <c r="X10" s="33">
        <f t="shared" ca="1" si="3"/>
        <v>255.43452380952382</v>
      </c>
      <c r="Y10" s="40">
        <v>19</v>
      </c>
      <c r="Z10" s="40"/>
      <c r="AA10" s="33">
        <v>3.5</v>
      </c>
      <c r="AB10" s="30" t="str">
        <f t="array" ref="AB10">INDEX($W$3:$W$34, MATCH(1, (AA10&gt;=$U$3:$U$34) * (AA10&lt;$V$3:$V$34), 0))</f>
        <v>SM-1</v>
      </c>
    </row>
    <row r="11" spans="1:28" ht="18.75" customHeight="1" x14ac:dyDescent="0.25">
      <c r="A11" s="33">
        <v>22.200450100884598</v>
      </c>
      <c r="B11" s="33">
        <v>1639.7058823529401</v>
      </c>
      <c r="C11" s="33"/>
      <c r="D11" s="33">
        <v>9.5</v>
      </c>
      <c r="E11" s="33">
        <v>183.48599999999999</v>
      </c>
      <c r="F11" s="33"/>
      <c r="G11" s="30">
        <v>2.5</v>
      </c>
      <c r="H11" s="30" t="s">
        <v>350</v>
      </c>
      <c r="I11" s="30">
        <v>20</v>
      </c>
      <c r="K11" s="33">
        <v>22.200450100884598</v>
      </c>
      <c r="L11" s="33">
        <f t="shared" si="0"/>
        <v>19.351200325390302</v>
      </c>
      <c r="N11" s="33">
        <v>9.5</v>
      </c>
      <c r="O11" s="33">
        <f t="shared" si="4"/>
        <v>169.11099999999999</v>
      </c>
      <c r="Q11" s="33">
        <v>9.5</v>
      </c>
      <c r="R11" s="30" t="str">
        <f t="shared" si="1"/>
        <v>CL-2</v>
      </c>
      <c r="T11" s="33">
        <v>2.5</v>
      </c>
      <c r="U11" s="33">
        <f t="shared" si="5"/>
        <v>18.5</v>
      </c>
      <c r="V11" s="40">
        <f t="shared" si="2"/>
        <v>21</v>
      </c>
      <c r="W11" s="30" t="s">
        <v>23</v>
      </c>
      <c r="X11" s="33">
        <f t="shared" ca="1" si="3"/>
        <v>256.53660000000002</v>
      </c>
      <c r="Y11" s="40">
        <v>19</v>
      </c>
      <c r="Z11" s="40"/>
      <c r="AA11" s="40">
        <v>4</v>
      </c>
      <c r="AB11" s="30" t="str">
        <f t="array" ref="AB11">INDEX($W$3:$W$34, MATCH(1, (AA11&gt;=$U$3:$U$34) * (AA11&lt;$V$3:$V$34), 0))</f>
        <v>SM-1</v>
      </c>
    </row>
    <row r="12" spans="1:28" ht="18.75" customHeight="1" x14ac:dyDescent="0.25">
      <c r="A12" s="33">
        <v>23.531351854726001</v>
      </c>
      <c r="B12" s="33">
        <v>1683.8235294117601</v>
      </c>
      <c r="C12" s="33"/>
      <c r="D12" s="40">
        <v>10</v>
      </c>
      <c r="E12" s="33">
        <v>187.79300000000001</v>
      </c>
      <c r="F12" s="33"/>
      <c r="G12" s="30">
        <v>3</v>
      </c>
      <c r="H12" s="30" t="s">
        <v>353</v>
      </c>
      <c r="I12" s="30">
        <v>5</v>
      </c>
      <c r="K12" s="33">
        <v>23.531351854726001</v>
      </c>
      <c r="L12" s="33">
        <f t="shared" si="0"/>
        <v>19.480072264718341</v>
      </c>
      <c r="N12" s="40">
        <v>10</v>
      </c>
      <c r="O12" s="33">
        <f t="shared" si="4"/>
        <v>180.73966666666669</v>
      </c>
      <c r="Q12" s="40">
        <v>10</v>
      </c>
      <c r="R12" s="30" t="str">
        <f t="shared" si="1"/>
        <v>CL-2</v>
      </c>
      <c r="T12" s="40">
        <v>3</v>
      </c>
      <c r="U12" s="40">
        <f t="shared" si="5"/>
        <v>21</v>
      </c>
      <c r="V12" s="40">
        <f t="shared" si="2"/>
        <v>24</v>
      </c>
      <c r="W12" s="30" t="s">
        <v>24</v>
      </c>
      <c r="X12" s="33">
        <f t="shared" ca="1" si="3"/>
        <v>277.32400000000001</v>
      </c>
      <c r="Y12" s="40">
        <v>19</v>
      </c>
      <c r="Z12" s="40"/>
      <c r="AA12" s="33">
        <v>4.5</v>
      </c>
      <c r="AB12" s="30" t="str">
        <f t="array" ref="AB12">INDEX($W$3:$W$34, MATCH(1, (AA12&gt;=$U$3:$U$34) * (AA12&lt;$V$3:$V$34), 0))</f>
        <v>ML-CL-1</v>
      </c>
    </row>
    <row r="13" spans="1:28" ht="18.75" customHeight="1" x14ac:dyDescent="0.25">
      <c r="A13" s="33">
        <v>26.821744528946098</v>
      </c>
      <c r="B13" s="33">
        <v>1654.4117647058799</v>
      </c>
      <c r="C13" s="33"/>
      <c r="D13" s="33">
        <v>10.5</v>
      </c>
      <c r="E13" s="33">
        <v>170.94</v>
      </c>
      <c r="F13" s="33"/>
      <c r="G13" s="30">
        <v>6</v>
      </c>
      <c r="H13" s="30" t="s">
        <v>25</v>
      </c>
      <c r="I13" s="30">
        <v>5</v>
      </c>
      <c r="K13" s="33">
        <v>26.821744528946098</v>
      </c>
      <c r="L13" s="33">
        <f t="shared" si="0"/>
        <v>19.394443500769523</v>
      </c>
      <c r="N13" s="33">
        <v>10.5</v>
      </c>
      <c r="O13" s="33">
        <f t="shared" si="4"/>
        <v>176.55766666666668</v>
      </c>
      <c r="Q13" s="33">
        <v>10.5</v>
      </c>
      <c r="R13" s="30" t="str">
        <f t="shared" si="1"/>
        <v>CL-2</v>
      </c>
      <c r="T13" s="40">
        <v>6</v>
      </c>
      <c r="U13" s="40">
        <f t="shared" si="5"/>
        <v>24</v>
      </c>
      <c r="V13" s="40">
        <f t="shared" si="2"/>
        <v>30</v>
      </c>
      <c r="W13" s="30" t="s">
        <v>25</v>
      </c>
      <c r="X13" s="33">
        <f t="shared" ca="1" si="3"/>
        <v>255.32897222222221</v>
      </c>
      <c r="Y13" s="40">
        <v>20</v>
      </c>
      <c r="Z13" s="40"/>
      <c r="AA13" s="40">
        <v>5</v>
      </c>
      <c r="AB13" s="30" t="str">
        <f t="array" ref="AB13">INDEX($W$3:$W$34, MATCH(1, (AA13&gt;=$U$3:$U$34) * (AA13&lt;$V$3:$V$34), 0))</f>
        <v>ML-CL-1</v>
      </c>
    </row>
    <row r="14" spans="1:28" ht="18.75" customHeight="1" x14ac:dyDescent="0.25">
      <c r="A14" s="33">
        <v>30.114077293186401</v>
      </c>
      <c r="B14" s="33">
        <v>1632.35294117647</v>
      </c>
      <c r="C14" s="33"/>
      <c r="D14" s="40">
        <v>11</v>
      </c>
      <c r="E14" s="33">
        <v>170.94</v>
      </c>
      <c r="F14" s="33"/>
      <c r="G14" s="30">
        <v>6</v>
      </c>
      <c r="H14" s="30" t="s">
        <v>351</v>
      </c>
      <c r="I14" s="30">
        <v>5</v>
      </c>
      <c r="K14" s="33">
        <v>30.114077293186401</v>
      </c>
      <c r="L14" s="33">
        <f t="shared" si="0"/>
        <v>19.329469577668636</v>
      </c>
      <c r="N14" s="40">
        <v>11</v>
      </c>
      <c r="O14" s="33">
        <f t="shared" si="4"/>
        <v>186.81966666666668</v>
      </c>
      <c r="Q14" s="40">
        <v>11</v>
      </c>
      <c r="R14" s="30" t="str">
        <f t="shared" si="1"/>
        <v>CL-2</v>
      </c>
      <c r="T14" s="40">
        <v>6</v>
      </c>
      <c r="U14" s="40">
        <f t="shared" si="5"/>
        <v>30</v>
      </c>
      <c r="V14" s="40">
        <f t="shared" si="2"/>
        <v>36</v>
      </c>
      <c r="W14" s="30" t="s">
        <v>26</v>
      </c>
      <c r="X14" s="33">
        <f t="shared" ca="1" si="3"/>
        <v>251.51897222222226</v>
      </c>
      <c r="Y14" s="40">
        <v>20</v>
      </c>
      <c r="Z14" s="40"/>
      <c r="AA14" s="33">
        <v>5.5</v>
      </c>
      <c r="AB14" s="30" t="str">
        <f t="array" ref="AB14">INDEX($W$3:$W$34, MATCH(1, (AA14&gt;=$U$3:$U$34) * (AA14&lt;$V$3:$V$34), 0))</f>
        <v>ML-CL-1</v>
      </c>
    </row>
    <row r="15" spans="1:28" ht="18.75" customHeight="1" x14ac:dyDescent="0.25">
      <c r="A15" s="33">
        <v>32.108489833928303</v>
      </c>
      <c r="B15" s="33">
        <v>1691.1764705882299</v>
      </c>
      <c r="C15" s="33"/>
      <c r="D15" s="33">
        <v>11.5</v>
      </c>
      <c r="E15" s="33">
        <v>218.57900000000001</v>
      </c>
      <c r="F15" s="33"/>
      <c r="G15" s="30">
        <v>12</v>
      </c>
      <c r="H15" s="30" t="s">
        <v>350</v>
      </c>
      <c r="I15" s="30">
        <v>20</v>
      </c>
      <c r="K15" s="33">
        <v>32.108489833928303</v>
      </c>
      <c r="L15" s="33">
        <f t="shared" si="0"/>
        <v>19.5013039826203</v>
      </c>
      <c r="N15" s="33">
        <v>11.5</v>
      </c>
      <c r="O15" s="33">
        <f t="shared" si="4"/>
        <v>190.17133333333334</v>
      </c>
      <c r="Q15" s="33">
        <v>11.5</v>
      </c>
      <c r="R15" s="30" t="str">
        <f t="shared" si="1"/>
        <v>SW</v>
      </c>
      <c r="T15" s="40">
        <v>12</v>
      </c>
      <c r="U15" s="40">
        <f t="shared" si="5"/>
        <v>36</v>
      </c>
      <c r="V15" s="40">
        <f t="shared" si="2"/>
        <v>48</v>
      </c>
      <c r="W15" s="30" t="s">
        <v>27</v>
      </c>
      <c r="X15" s="33">
        <f t="shared" ca="1" si="3"/>
        <v>231.52923611111109</v>
      </c>
      <c r="Y15" s="40">
        <v>20</v>
      </c>
      <c r="Z15" s="40"/>
      <c r="AA15" s="40">
        <v>6</v>
      </c>
      <c r="AB15" s="30" t="str">
        <f t="array" ref="AB15">INDEX($W$3:$W$34, MATCH(1, (AA15&gt;=$U$3:$U$34) * (AA15&lt;$V$3:$V$34), 0))</f>
        <v>CL-2</v>
      </c>
    </row>
    <row r="16" spans="1:28" ht="18.75" customHeight="1" x14ac:dyDescent="0.25">
      <c r="A16" s="33">
        <v>34.099022194629804</v>
      </c>
      <c r="B16" s="33">
        <v>1735.2941176470499</v>
      </c>
      <c r="C16" s="33"/>
      <c r="D16" s="40">
        <v>12</v>
      </c>
      <c r="E16" s="33">
        <v>180.995</v>
      </c>
      <c r="F16" s="33"/>
      <c r="G16" s="30">
        <v>12.5</v>
      </c>
      <c r="H16" s="30" t="s">
        <v>352</v>
      </c>
      <c r="I16" s="30">
        <v>5</v>
      </c>
      <c r="K16" s="33">
        <v>34.099022194629804</v>
      </c>
      <c r="L16" s="33">
        <f t="shared" si="0"/>
        <v>19.627260824135412</v>
      </c>
      <c r="N16" s="40">
        <v>12</v>
      </c>
      <c r="O16" s="33">
        <f t="shared" si="4"/>
        <v>191.41533333333334</v>
      </c>
      <c r="Q16" s="40">
        <v>12</v>
      </c>
      <c r="R16" s="30" t="str">
        <f t="shared" si="1"/>
        <v>SW</v>
      </c>
      <c r="T16" s="33">
        <v>12.5</v>
      </c>
      <c r="U16" s="40">
        <f t="shared" si="5"/>
        <v>48</v>
      </c>
      <c r="V16" s="33">
        <f t="shared" si="2"/>
        <v>60.5</v>
      </c>
      <c r="W16" s="30" t="s">
        <v>28</v>
      </c>
      <c r="X16" s="33">
        <f t="shared" ca="1" si="3"/>
        <v>282.86478666666676</v>
      </c>
      <c r="Y16" s="40">
        <v>20</v>
      </c>
      <c r="Z16" s="40"/>
      <c r="AA16" s="33">
        <v>6.5</v>
      </c>
      <c r="AB16" s="30" t="str">
        <f t="array" ref="AB16">INDEX($W$3:$W$34, MATCH(1, (AA16&gt;=$U$3:$U$34) * (AA16&lt;$V$3:$V$34), 0))</f>
        <v>CL-2</v>
      </c>
    </row>
    <row r="17" spans="1:28" ht="18.75" customHeight="1" x14ac:dyDescent="0.25">
      <c r="A17" s="33">
        <v>36.064333385068998</v>
      </c>
      <c r="B17" s="33">
        <v>1683.8235294117601</v>
      </c>
      <c r="C17" s="33"/>
      <c r="D17" s="33">
        <v>12.5</v>
      </c>
      <c r="E17" s="33">
        <v>174.672</v>
      </c>
      <c r="F17" s="33"/>
      <c r="G17" s="30">
        <v>10</v>
      </c>
      <c r="H17" s="30" t="s">
        <v>350</v>
      </c>
      <c r="I17" s="30">
        <v>20</v>
      </c>
      <c r="K17" s="33">
        <v>36.064333385068998</v>
      </c>
      <c r="L17" s="33">
        <f t="shared" si="0"/>
        <v>19.480072264718341</v>
      </c>
      <c r="N17" s="33">
        <v>12.5</v>
      </c>
      <c r="O17" s="33">
        <f t="shared" si="4"/>
        <v>181.74666666666667</v>
      </c>
      <c r="Q17" s="33">
        <v>12.5</v>
      </c>
      <c r="R17" s="30" t="str">
        <f t="shared" si="1"/>
        <v>SW</v>
      </c>
      <c r="T17" s="40">
        <v>10</v>
      </c>
      <c r="U17" s="33">
        <f t="shared" si="5"/>
        <v>60.5</v>
      </c>
      <c r="V17" s="33">
        <f t="shared" si="2"/>
        <v>70.5</v>
      </c>
      <c r="W17" s="30" t="s">
        <v>29</v>
      </c>
      <c r="X17" s="33">
        <f t="shared" ca="1" si="3"/>
        <v>314.38283333333328</v>
      </c>
      <c r="Y17" s="40">
        <v>20</v>
      </c>
      <c r="Z17" s="40"/>
      <c r="AA17" s="40">
        <v>7</v>
      </c>
      <c r="AB17" s="30" t="str">
        <f t="array" ref="AB17">INDEX($W$3:$W$34, MATCH(1, (AA17&gt;=$U$3:$U$34) * (AA17&lt;$V$3:$V$34), 0))</f>
        <v>CL-2</v>
      </c>
    </row>
    <row r="18" spans="1:28" ht="18.75" customHeight="1" x14ac:dyDescent="0.25">
      <c r="A18" s="33">
        <v>37.375834238708698</v>
      </c>
      <c r="B18" s="33">
        <v>1654.4117647058799</v>
      </c>
      <c r="C18" s="33"/>
      <c r="D18" s="40">
        <v>13</v>
      </c>
      <c r="E18" s="33">
        <v>189.57300000000001</v>
      </c>
      <c r="F18" s="33"/>
      <c r="K18" s="33">
        <v>37.375834238708698</v>
      </c>
      <c r="L18" s="33">
        <f t="shared" si="0"/>
        <v>19.394443500769523</v>
      </c>
      <c r="N18" s="40">
        <v>13</v>
      </c>
      <c r="O18" s="33">
        <f t="shared" si="4"/>
        <v>184.30799999999999</v>
      </c>
      <c r="Q18" s="40">
        <v>13</v>
      </c>
      <c r="R18" s="30" t="str">
        <f t="shared" si="1"/>
        <v>SW</v>
      </c>
      <c r="T18" s="40">
        <v>10</v>
      </c>
      <c r="U18" s="33">
        <f t="shared" si="5"/>
        <v>70.5</v>
      </c>
      <c r="V18" s="33">
        <f t="shared" si="2"/>
        <v>80.5</v>
      </c>
      <c r="W18" s="30" t="s">
        <v>30</v>
      </c>
      <c r="X18" s="33">
        <f t="shared" ca="1" si="3"/>
        <v>342.82920000000001</v>
      </c>
      <c r="Y18" s="40">
        <v>20</v>
      </c>
      <c r="Z18" s="40"/>
      <c r="AA18" s="33">
        <v>7.5</v>
      </c>
      <c r="AB18" s="30" t="str">
        <f t="array" ref="AB18">INDEX($W$3:$W$34, MATCH(1, (AA18&gt;=$U$3:$U$34) * (AA18&lt;$V$3:$V$34), 0))</f>
        <v>CL-2</v>
      </c>
    </row>
    <row r="19" spans="1:28" ht="18.75" customHeight="1" x14ac:dyDescent="0.25">
      <c r="A19" s="33">
        <v>40.022117026229999</v>
      </c>
      <c r="B19" s="33">
        <v>1683.8235294117601</v>
      </c>
      <c r="C19" s="33"/>
      <c r="D19" s="33">
        <v>13.5</v>
      </c>
      <c r="E19" s="33">
        <v>188.679</v>
      </c>
      <c r="F19" s="33"/>
      <c r="K19" s="33">
        <v>40.022117026229999</v>
      </c>
      <c r="L19" s="33">
        <f t="shared" si="0"/>
        <v>19.480072264718341</v>
      </c>
      <c r="N19" s="33">
        <v>13.5</v>
      </c>
      <c r="O19" s="33">
        <f t="shared" si="4"/>
        <v>200.15800000000002</v>
      </c>
      <c r="Q19" s="33">
        <v>13.5</v>
      </c>
      <c r="R19" s="30" t="str">
        <f t="shared" si="1"/>
        <v>SW</v>
      </c>
      <c r="T19" s="40">
        <v>10</v>
      </c>
      <c r="U19" s="33">
        <f t="shared" si="5"/>
        <v>80.5</v>
      </c>
      <c r="V19" s="33">
        <f t="shared" si="2"/>
        <v>90.5</v>
      </c>
      <c r="W19" s="30" t="s">
        <v>31</v>
      </c>
      <c r="X19" s="33">
        <f t="shared" ca="1" si="3"/>
        <v>335.38350000000003</v>
      </c>
      <c r="Y19" s="40">
        <v>20</v>
      </c>
      <c r="Z19" s="40"/>
      <c r="AA19" s="40">
        <v>8</v>
      </c>
      <c r="AB19" s="30" t="str">
        <f t="array" ref="AB19">INDEX($W$3:$W$34, MATCH(1, (AA19&gt;=$U$3:$U$34) * (AA19&lt;$V$3:$V$34), 0))</f>
        <v>CL-2</v>
      </c>
    </row>
    <row r="20" spans="1:28" ht="18.75" customHeight="1" x14ac:dyDescent="0.25">
      <c r="A20" s="33">
        <v>41.354958870091501</v>
      </c>
      <c r="B20" s="33">
        <v>1735.2941176470499</v>
      </c>
      <c r="C20" s="33"/>
      <c r="D20" s="40">
        <v>14</v>
      </c>
      <c r="E20" s="33">
        <v>222.22200000000001</v>
      </c>
      <c r="F20" s="33"/>
      <c r="K20" s="33">
        <v>41.354958870091501</v>
      </c>
      <c r="L20" s="33">
        <f t="shared" si="0"/>
        <v>19.627260824135412</v>
      </c>
      <c r="N20" s="40">
        <v>14</v>
      </c>
      <c r="O20" s="33">
        <f t="shared" si="4"/>
        <v>199.86</v>
      </c>
      <c r="Q20" s="40">
        <v>14</v>
      </c>
      <c r="R20" s="30" t="str">
        <f t="shared" si="1"/>
        <v>SW</v>
      </c>
      <c r="T20" s="40">
        <v>10</v>
      </c>
      <c r="U20" s="33">
        <f t="shared" si="5"/>
        <v>90.5</v>
      </c>
      <c r="V20" s="33">
        <f t="shared" si="2"/>
        <v>100.5</v>
      </c>
      <c r="W20" s="30" t="s">
        <v>32</v>
      </c>
      <c r="X20" s="33">
        <f t="shared" ca="1" si="3"/>
        <v>399.27866666666671</v>
      </c>
      <c r="Y20" s="40">
        <v>20</v>
      </c>
      <c r="Z20" s="40"/>
      <c r="AA20" s="33">
        <v>8.5</v>
      </c>
      <c r="AB20" s="30" t="str">
        <f t="array" ref="AB20">INDEX($W$3:$W$34, MATCH(1, (AA20&gt;=$U$3:$U$34) * (AA20&lt;$V$3:$V$34), 0))</f>
        <v>CL-2</v>
      </c>
    </row>
    <row r="21" spans="1:28" ht="18.75" customHeight="1" x14ac:dyDescent="0.25">
      <c r="A21" s="33">
        <v>42.676160173832002</v>
      </c>
      <c r="B21" s="33">
        <v>1742.64705882352</v>
      </c>
      <c r="C21" s="33"/>
      <c r="D21" s="33">
        <v>14.5</v>
      </c>
      <c r="E21" s="33">
        <v>188.679</v>
      </c>
      <c r="F21" s="33"/>
      <c r="K21" s="33">
        <v>42.676160173832002</v>
      </c>
      <c r="L21" s="33">
        <f t="shared" si="0"/>
        <v>19.648019457930918</v>
      </c>
      <c r="N21" s="33">
        <v>14.5</v>
      </c>
      <c r="O21" s="33">
        <f t="shared" si="4"/>
        <v>202.97366666666667</v>
      </c>
      <c r="Q21" s="33">
        <v>14.5</v>
      </c>
      <c r="R21" s="30" t="str">
        <f t="shared" si="1"/>
        <v>SW</v>
      </c>
      <c r="T21" s="40">
        <v>10</v>
      </c>
      <c r="U21" s="33">
        <f t="shared" si="5"/>
        <v>100.5</v>
      </c>
      <c r="V21" s="33">
        <f t="shared" si="2"/>
        <v>110.5</v>
      </c>
      <c r="W21" s="30" t="s">
        <v>33</v>
      </c>
      <c r="X21" s="33">
        <f t="shared" ca="1" si="3"/>
        <v>424.68018518518522</v>
      </c>
      <c r="Y21" s="40">
        <v>20</v>
      </c>
      <c r="Z21" s="40"/>
      <c r="AA21" s="40">
        <v>9</v>
      </c>
      <c r="AB21" s="30" t="str">
        <f t="array" ref="AB21">INDEX($W$3:$W$34, MATCH(1, (AA21&gt;=$U$3:$U$34) * (AA21&lt;$V$3:$V$34), 0))</f>
        <v>CL-2</v>
      </c>
    </row>
    <row r="22" spans="1:28" ht="18.75" customHeight="1" x14ac:dyDescent="0.25">
      <c r="A22" s="33">
        <v>46.624243364892102</v>
      </c>
      <c r="B22" s="33">
        <v>1705.88235294117</v>
      </c>
      <c r="C22" s="33"/>
      <c r="D22" s="40">
        <v>15</v>
      </c>
      <c r="E22" s="33">
        <v>198.02</v>
      </c>
      <c r="F22" s="33"/>
      <c r="K22" s="33">
        <v>46.624243364892102</v>
      </c>
      <c r="L22" s="33">
        <f t="shared" si="0"/>
        <v>19.543560577016382</v>
      </c>
      <c r="N22" s="40">
        <v>15</v>
      </c>
      <c r="O22" s="33">
        <f t="shared" si="4"/>
        <v>213.28800000000001</v>
      </c>
      <c r="Q22" s="40">
        <v>15</v>
      </c>
      <c r="R22" s="30" t="str">
        <f t="shared" si="1"/>
        <v>ML-CL-2</v>
      </c>
      <c r="T22" s="40">
        <v>10</v>
      </c>
      <c r="U22" s="33">
        <f t="shared" si="5"/>
        <v>110.5</v>
      </c>
      <c r="V22" s="33">
        <f t="shared" si="2"/>
        <v>120.5</v>
      </c>
      <c r="W22" s="30" t="s">
        <v>34</v>
      </c>
      <c r="X22" s="33">
        <f t="shared" ca="1" si="3"/>
        <v>387.81880000000001</v>
      </c>
      <c r="Y22" s="40">
        <v>20</v>
      </c>
      <c r="Z22" s="40"/>
      <c r="AA22" s="33">
        <v>9.5</v>
      </c>
      <c r="AB22" s="30" t="str">
        <f t="array" ref="AB22">INDEX($W$3:$W$34, MATCH(1, (AA22&gt;=$U$3:$U$34) * (AA22&lt;$V$3:$V$34), 0))</f>
        <v>CL-2</v>
      </c>
    </row>
    <row r="23" spans="1:28" ht="18.75" customHeight="1" x14ac:dyDescent="0.25">
      <c r="A23" s="33">
        <v>50.574266645972301</v>
      </c>
      <c r="B23" s="33">
        <v>1676.4705882352901</v>
      </c>
      <c r="C23" s="33"/>
      <c r="D23" s="33">
        <v>15.5</v>
      </c>
      <c r="E23" s="33">
        <v>253.16499999999999</v>
      </c>
      <c r="F23" s="33"/>
      <c r="K23" s="33">
        <v>50.574266645972301</v>
      </c>
      <c r="L23" s="33">
        <f t="shared" si="0"/>
        <v>19.458770896323788</v>
      </c>
      <c r="N23" s="33">
        <v>15.5</v>
      </c>
      <c r="O23" s="33">
        <f t="shared" si="4"/>
        <v>267.35399999999998</v>
      </c>
      <c r="Q23" s="33">
        <v>15.5</v>
      </c>
      <c r="R23" s="30" t="str">
        <f t="shared" si="1"/>
        <v>ML-CL-2</v>
      </c>
      <c r="T23" s="40">
        <v>10</v>
      </c>
      <c r="U23" s="33">
        <f t="shared" si="5"/>
        <v>120.5</v>
      </c>
      <c r="V23" s="33">
        <f t="shared" si="2"/>
        <v>130.5</v>
      </c>
      <c r="W23" s="30" t="s">
        <v>35</v>
      </c>
      <c r="X23" s="33">
        <f t="shared" ca="1" si="3"/>
        <v>445.77074074074079</v>
      </c>
      <c r="Y23" s="40">
        <v>20</v>
      </c>
      <c r="Z23" s="40"/>
      <c r="AA23" s="40">
        <v>10</v>
      </c>
      <c r="AB23" s="30" t="str">
        <f t="array" ref="AB23">INDEX($W$3:$W$34, MATCH(1, (AA23&gt;=$U$3:$U$34) * (AA23&lt;$V$3:$V$34), 0))</f>
        <v>CL-2</v>
      </c>
    </row>
    <row r="24" spans="1:28" ht="18.75" customHeight="1" x14ac:dyDescent="0.25">
      <c r="A24" s="33">
        <v>51.253298153034201</v>
      </c>
      <c r="B24" s="40">
        <v>1750</v>
      </c>
      <c r="C24" s="40"/>
      <c r="D24" s="40">
        <v>16</v>
      </c>
      <c r="E24" s="33">
        <v>350.87700000000001</v>
      </c>
      <c r="F24" s="33"/>
      <c r="K24" s="33">
        <v>51.253298153034201</v>
      </c>
      <c r="L24" s="33">
        <f t="shared" si="0"/>
        <v>19.668712503413467</v>
      </c>
      <c r="N24" s="40">
        <v>16</v>
      </c>
      <c r="O24" s="33">
        <f t="shared" si="4"/>
        <v>273.03199999999998</v>
      </c>
      <c r="Q24" s="40">
        <v>16</v>
      </c>
      <c r="R24" s="30" t="str">
        <f t="shared" si="1"/>
        <v>ML-CL-2</v>
      </c>
      <c r="T24" s="40">
        <v>10</v>
      </c>
      <c r="U24" s="33">
        <f t="shared" si="5"/>
        <v>130.5</v>
      </c>
      <c r="V24" s="33">
        <f t="shared" si="2"/>
        <v>140.5</v>
      </c>
      <c r="W24" s="30" t="s">
        <v>36</v>
      </c>
      <c r="X24" s="33">
        <f t="shared" ca="1" si="3"/>
        <v>408.58006666666671</v>
      </c>
      <c r="Y24" s="40">
        <v>20</v>
      </c>
      <c r="Z24" s="40"/>
      <c r="AA24" s="33">
        <v>10.5</v>
      </c>
      <c r="AB24" s="30" t="str">
        <f t="array" ref="AB24">INDEX($W$3:$W$34, MATCH(1, (AA24&gt;=$U$3:$U$34) * (AA24&lt;$V$3:$V$34), 0))</f>
        <v>CL-2</v>
      </c>
    </row>
    <row r="25" spans="1:28" ht="18.75" customHeight="1" x14ac:dyDescent="0.25">
      <c r="A25" s="33">
        <v>54.5475710072947</v>
      </c>
      <c r="B25" s="33">
        <v>1735.2941176470499</v>
      </c>
      <c r="C25" s="33"/>
      <c r="D25" s="33">
        <v>16.5</v>
      </c>
      <c r="E25" s="33">
        <v>215.054</v>
      </c>
      <c r="F25" s="33"/>
      <c r="K25" s="33">
        <v>54.5475710072947</v>
      </c>
      <c r="L25" s="33">
        <f t="shared" si="0"/>
        <v>19.627260824135412</v>
      </c>
      <c r="N25" s="33">
        <v>16.5</v>
      </c>
      <c r="O25" s="33">
        <f t="shared" si="4"/>
        <v>260.71566666666666</v>
      </c>
      <c r="Q25" s="33">
        <v>16.5</v>
      </c>
      <c r="R25" s="30" t="str">
        <f t="shared" si="1"/>
        <v>ML-CL-2</v>
      </c>
      <c r="T25" s="40">
        <v>10</v>
      </c>
      <c r="U25" s="33">
        <f t="shared" si="5"/>
        <v>140.5</v>
      </c>
      <c r="V25" s="33">
        <f t="shared" si="2"/>
        <v>150.5</v>
      </c>
      <c r="W25" s="30" t="s">
        <v>37</v>
      </c>
      <c r="X25" s="33">
        <f t="shared" ca="1" si="3"/>
        <v>391.15030000000002</v>
      </c>
      <c r="Y25" s="40">
        <v>20</v>
      </c>
      <c r="Z25" s="40"/>
      <c r="AA25" s="40">
        <v>11</v>
      </c>
      <c r="AB25" s="30" t="str">
        <f t="array" ref="AB25">INDEX($W$3:$W$34, MATCH(1, (AA25&gt;=$U$3:$U$34) * (AA25&lt;$V$3:$V$34), 0))</f>
        <v>CL-2</v>
      </c>
    </row>
    <row r="26" spans="1:28" ht="18.75" customHeight="1" x14ac:dyDescent="0.25">
      <c r="A26" s="33">
        <v>55.857131770914101</v>
      </c>
      <c r="B26" s="33">
        <v>1698.5294117646999</v>
      </c>
      <c r="C26" s="33"/>
      <c r="D26" s="40">
        <v>17</v>
      </c>
      <c r="E26" s="33">
        <v>216.21600000000001</v>
      </c>
      <c r="F26" s="33"/>
      <c r="K26" s="33">
        <v>55.857131770914101</v>
      </c>
      <c r="L26" s="33">
        <f t="shared" si="0"/>
        <v>19.522466579119278</v>
      </c>
      <c r="N26" s="40">
        <v>17</v>
      </c>
      <c r="O26" s="33">
        <f t="shared" si="4"/>
        <v>235.7106666666667</v>
      </c>
      <c r="Q26" s="40">
        <v>17</v>
      </c>
      <c r="R26" s="30" t="str">
        <f t="shared" si="1"/>
        <v>ML-CL-2</v>
      </c>
      <c r="T26" s="40">
        <v>10</v>
      </c>
      <c r="U26" s="33">
        <f t="shared" si="5"/>
        <v>150.5</v>
      </c>
      <c r="V26" s="33">
        <f t="shared" si="2"/>
        <v>160.5</v>
      </c>
      <c r="W26" s="30" t="s">
        <v>38</v>
      </c>
      <c r="X26" s="33">
        <f t="shared" ca="1" si="3"/>
        <v>536.81860000000006</v>
      </c>
      <c r="Y26" s="40">
        <v>20</v>
      </c>
      <c r="Z26" s="40"/>
      <c r="AA26" s="33">
        <v>11.5</v>
      </c>
      <c r="AB26" s="30" t="str">
        <f t="array" ref="AB26">INDEX($W$3:$W$34, MATCH(1, (AA26&gt;=$U$3:$U$34) * (AA26&lt;$V$3:$V$34), 0))</f>
        <v>SW</v>
      </c>
    </row>
    <row r="27" spans="1:28" ht="18.75" customHeight="1" x14ac:dyDescent="0.25">
      <c r="A27" s="33">
        <v>57.180273164674801</v>
      </c>
      <c r="B27" s="33">
        <v>1713.23529411764</v>
      </c>
      <c r="C27" s="33"/>
      <c r="D27" s="33">
        <v>17.5</v>
      </c>
      <c r="E27" s="33">
        <v>275.86200000000002</v>
      </c>
      <c r="F27" s="33"/>
      <c r="K27" s="33">
        <v>57.180273164674801</v>
      </c>
      <c r="L27" s="33">
        <f t="shared" si="0"/>
        <v>19.564586492925674</v>
      </c>
      <c r="N27" s="33">
        <v>17.5</v>
      </c>
      <c r="O27" s="33">
        <f t="shared" si="4"/>
        <v>254.11599999999999</v>
      </c>
      <c r="Q27" s="33">
        <v>17.5</v>
      </c>
      <c r="R27" s="30" t="str">
        <f t="shared" si="1"/>
        <v>ML-CL-2</v>
      </c>
      <c r="T27" s="40">
        <v>10</v>
      </c>
      <c r="U27" s="33">
        <f t="shared" si="5"/>
        <v>160.5</v>
      </c>
      <c r="V27" s="33">
        <f t="shared" si="2"/>
        <v>170.5</v>
      </c>
      <c r="W27" s="30" t="s">
        <v>39</v>
      </c>
      <c r="X27" s="33">
        <f t="shared" ca="1" si="3"/>
        <v>484.5060666666667</v>
      </c>
      <c r="Y27" s="40">
        <v>20</v>
      </c>
      <c r="Z27" s="40"/>
      <c r="AA27" s="40">
        <v>12</v>
      </c>
      <c r="AB27" s="30" t="str">
        <f t="array" ref="AB27">INDEX($W$3:$W$34, MATCH(1, (AA27&gt;=$U$3:$U$34) * (AA27&lt;$V$3:$V$34), 0))</f>
        <v>SW</v>
      </c>
    </row>
    <row r="28" spans="1:28" ht="18.75" customHeight="1" x14ac:dyDescent="0.25">
      <c r="A28" s="33">
        <v>60.484246469036101</v>
      </c>
      <c r="B28" s="33">
        <v>1735.2941176470499</v>
      </c>
      <c r="C28" s="33"/>
      <c r="D28" s="40">
        <v>18</v>
      </c>
      <c r="E28" s="33">
        <v>270.27</v>
      </c>
      <c r="F28" s="33"/>
      <c r="K28" s="33">
        <v>60.484246469036101</v>
      </c>
      <c r="L28" s="33">
        <f t="shared" si="0"/>
        <v>19.627260824135412</v>
      </c>
      <c r="N28" s="40">
        <v>18</v>
      </c>
      <c r="O28" s="33">
        <f t="shared" si="4"/>
        <v>283.82533333333339</v>
      </c>
      <c r="Q28" s="40">
        <v>18</v>
      </c>
      <c r="R28" s="30" t="str">
        <f t="shared" si="1"/>
        <v>ML-CL-2</v>
      </c>
      <c r="T28" s="40">
        <v>10</v>
      </c>
      <c r="U28" s="33">
        <f t="shared" si="5"/>
        <v>170.5</v>
      </c>
      <c r="V28" s="33">
        <f t="shared" si="2"/>
        <v>180.5</v>
      </c>
      <c r="W28" s="30" t="s">
        <v>40</v>
      </c>
      <c r="X28" s="33">
        <f t="shared" ca="1" si="3"/>
        <v>543.77946666666662</v>
      </c>
      <c r="Y28" s="40">
        <v>20</v>
      </c>
      <c r="Z28" s="40"/>
      <c r="AA28" s="33">
        <v>12.5</v>
      </c>
      <c r="AB28" s="30" t="str">
        <f t="array" ref="AB28">INDEX($W$3:$W$34, MATCH(1, (AA28&gt;=$U$3:$U$34) * (AA28&lt;$V$3:$V$34), 0))</f>
        <v>SW</v>
      </c>
    </row>
    <row r="29" spans="1:28" ht="18.75" customHeight="1" x14ac:dyDescent="0.25">
      <c r="A29" s="33">
        <v>63.782399503336897</v>
      </c>
      <c r="B29" s="33">
        <v>1735.2941176470499</v>
      </c>
      <c r="C29" s="33"/>
      <c r="D29" s="33">
        <v>18.5</v>
      </c>
      <c r="E29" s="33">
        <v>305.34399999999999</v>
      </c>
      <c r="F29" s="33"/>
      <c r="K29" s="33">
        <v>63.782399503336897</v>
      </c>
      <c r="L29" s="33">
        <f t="shared" si="0"/>
        <v>19.627260824135412</v>
      </c>
      <c r="N29" s="33">
        <v>18.5</v>
      </c>
      <c r="O29" s="33">
        <f t="shared" si="4"/>
        <v>269.39066666666668</v>
      </c>
      <c r="Q29" s="33">
        <v>18.5</v>
      </c>
      <c r="R29" s="30" t="str">
        <f t="shared" si="1"/>
        <v>CL-3</v>
      </c>
      <c r="T29" s="40">
        <v>10</v>
      </c>
      <c r="U29" s="33">
        <f t="shared" si="5"/>
        <v>180.5</v>
      </c>
      <c r="V29" s="33">
        <f t="shared" si="2"/>
        <v>190.5</v>
      </c>
      <c r="W29" s="30" t="s">
        <v>41</v>
      </c>
      <c r="X29" s="33">
        <f t="shared" ca="1" si="3"/>
        <v>571.87226666666663</v>
      </c>
      <c r="Y29" s="40">
        <v>20</v>
      </c>
      <c r="Z29" s="40"/>
      <c r="AA29" s="40">
        <v>13</v>
      </c>
      <c r="AB29" s="30" t="str">
        <f t="array" ref="AB29">INDEX($W$3:$W$34, MATCH(1, (AA29&gt;=$U$3:$U$34) * (AA29&lt;$V$3:$V$34), 0))</f>
        <v>SW</v>
      </c>
    </row>
    <row r="30" spans="1:28" ht="18.75" customHeight="1" x14ac:dyDescent="0.25">
      <c r="A30" s="33">
        <v>63.801800403538699</v>
      </c>
      <c r="B30" s="33">
        <v>1808.8235294117601</v>
      </c>
      <c r="C30" s="33"/>
      <c r="D30" s="40">
        <v>19</v>
      </c>
      <c r="E30" s="33">
        <v>232.55799999999999</v>
      </c>
      <c r="F30" s="33"/>
      <c r="K30" s="33">
        <v>63.801800403538699</v>
      </c>
      <c r="L30" s="33">
        <f t="shared" si="0"/>
        <v>19.831952329025118</v>
      </c>
      <c r="N30" s="40">
        <v>19</v>
      </c>
      <c r="O30" s="33">
        <f t="shared" si="4"/>
        <v>242.19366666666667</v>
      </c>
      <c r="Q30" s="40">
        <v>19</v>
      </c>
      <c r="R30" s="30" t="str">
        <f t="shared" si="1"/>
        <v>CL-3</v>
      </c>
      <c r="T30" s="40">
        <v>10</v>
      </c>
      <c r="U30" s="33">
        <f t="shared" si="5"/>
        <v>190.5</v>
      </c>
      <c r="V30" s="33">
        <f t="shared" si="2"/>
        <v>200.5</v>
      </c>
      <c r="W30" s="30" t="s">
        <v>42</v>
      </c>
      <c r="X30" s="33">
        <f t="shared" ca="1" si="3"/>
        <v>474.36133333333333</v>
      </c>
      <c r="Y30" s="40">
        <v>20</v>
      </c>
      <c r="Z30" s="40"/>
      <c r="AA30" s="33">
        <v>13.5</v>
      </c>
      <c r="AB30" s="30" t="str">
        <f t="array" ref="AB30">INDEX($W$3:$W$34, MATCH(1, (AA30&gt;=$U$3:$U$34) * (AA30&lt;$V$3:$V$34), 0))</f>
        <v>SW</v>
      </c>
    </row>
    <row r="31" spans="1:28" ht="18.75" customHeight="1" x14ac:dyDescent="0.25">
      <c r="A31" s="33">
        <v>67.7479435045786</v>
      </c>
      <c r="B31" s="33">
        <v>1764.7058823529401</v>
      </c>
      <c r="C31" s="33"/>
      <c r="D31" s="33">
        <v>19.5</v>
      </c>
      <c r="E31" s="33">
        <v>188.679</v>
      </c>
      <c r="F31" s="33"/>
      <c r="K31" s="33">
        <v>67.7479435045786</v>
      </c>
      <c r="L31" s="33">
        <f t="shared" si="0"/>
        <v>19.709903749950854</v>
      </c>
      <c r="N31" s="33">
        <v>19.5</v>
      </c>
      <c r="O31" s="33">
        <f t="shared" si="4"/>
        <v>213.67233333333331</v>
      </c>
      <c r="Q31" s="33">
        <v>19.5</v>
      </c>
      <c r="R31" s="30" t="str">
        <f t="shared" si="1"/>
        <v>CL-3</v>
      </c>
      <c r="T31" s="40">
        <v>10</v>
      </c>
      <c r="U31" s="33">
        <f t="shared" si="5"/>
        <v>200.5</v>
      </c>
      <c r="V31" s="33">
        <f t="shared" si="2"/>
        <v>210.5</v>
      </c>
      <c r="W31" s="30" t="s">
        <v>43</v>
      </c>
      <c r="X31" s="33">
        <f t="shared" ca="1" si="3"/>
        <v>474.48151515151511</v>
      </c>
      <c r="Y31" s="40">
        <v>20</v>
      </c>
      <c r="Z31" s="40"/>
      <c r="AA31" s="40">
        <v>14</v>
      </c>
      <c r="AB31" s="30" t="str">
        <f t="array" ref="AB31">INDEX($W$3:$W$34, MATCH(1, (AA31&gt;=$U$3:$U$34) * (AA31&lt;$V$3:$V$34), 0))</f>
        <v>SW</v>
      </c>
    </row>
    <row r="32" spans="1:28" ht="18.75" customHeight="1" x14ac:dyDescent="0.25">
      <c r="A32" s="33">
        <v>71.694086605618494</v>
      </c>
      <c r="B32" s="33">
        <v>1720.5882352941101</v>
      </c>
      <c r="C32" s="33"/>
      <c r="D32" s="40">
        <v>20</v>
      </c>
      <c r="E32" s="33">
        <v>219.78</v>
      </c>
      <c r="F32" s="33"/>
      <c r="K32" s="33">
        <v>71.694086605618494</v>
      </c>
      <c r="L32" s="33">
        <f t="shared" si="0"/>
        <v>19.585544837373597</v>
      </c>
      <c r="N32" s="40">
        <v>20</v>
      </c>
      <c r="O32" s="33">
        <f t="shared" si="4"/>
        <v>242.81966666666668</v>
      </c>
      <c r="Q32" s="40">
        <v>20</v>
      </c>
      <c r="R32" s="30" t="str">
        <f t="shared" si="1"/>
        <v>CL-3</v>
      </c>
      <c r="T32" s="40">
        <v>10</v>
      </c>
      <c r="U32" s="33">
        <f t="shared" si="5"/>
        <v>210.5</v>
      </c>
      <c r="V32" s="33">
        <f t="shared" si="2"/>
        <v>220.5</v>
      </c>
      <c r="W32" s="30" t="s">
        <v>44</v>
      </c>
      <c r="X32" s="33">
        <f t="shared" ca="1" si="3"/>
        <v>567.74377777777784</v>
      </c>
      <c r="Y32" s="40">
        <v>20</v>
      </c>
      <c r="Z32" s="40"/>
      <c r="AA32" s="33">
        <v>14.5</v>
      </c>
      <c r="AB32" s="30" t="str">
        <f t="array" ref="AB32">INDEX($W$3:$W$34, MATCH(1, (AA32&gt;=$U$3:$U$34) * (AA32&lt;$V$3:$V$34), 0))</f>
        <v>SW</v>
      </c>
    </row>
    <row r="33" spans="1:28" ht="18.75" customHeight="1" x14ac:dyDescent="0.25">
      <c r="A33" s="33">
        <v>71.690206425578097</v>
      </c>
      <c r="B33" s="33">
        <v>1705.88235294117</v>
      </c>
      <c r="C33" s="33"/>
      <c r="D33" s="33">
        <v>20.5</v>
      </c>
      <c r="E33" s="40">
        <v>320</v>
      </c>
      <c r="F33" s="40"/>
      <c r="K33" s="33">
        <v>71.690206425578097</v>
      </c>
      <c r="L33" s="33">
        <f t="shared" si="0"/>
        <v>19.543560577016382</v>
      </c>
      <c r="N33" s="33">
        <v>20.5</v>
      </c>
      <c r="O33" s="33">
        <f t="shared" si="4"/>
        <v>314.60666666666663</v>
      </c>
      <c r="Q33" s="33">
        <v>20.5</v>
      </c>
      <c r="R33" s="30" t="str">
        <f t="shared" si="1"/>
        <v>CL-3</v>
      </c>
      <c r="T33" s="40">
        <v>10</v>
      </c>
      <c r="U33" s="33">
        <f t="shared" si="5"/>
        <v>220.5</v>
      </c>
      <c r="V33" s="33">
        <f t="shared" si="2"/>
        <v>230.5</v>
      </c>
      <c r="W33" s="30" t="s">
        <v>45</v>
      </c>
      <c r="X33" s="33">
        <f t="shared" ca="1" si="3"/>
        <v>683.52333333333331</v>
      </c>
      <c r="Y33" s="40">
        <v>20</v>
      </c>
      <c r="Z33" s="40"/>
      <c r="AA33" s="40">
        <v>15</v>
      </c>
      <c r="AB33" s="30" t="str">
        <f t="array" ref="AB33">INDEX($W$3:$W$34, MATCH(1, (AA33&gt;=$U$3:$U$34) * (AA33&lt;$V$3:$V$34), 0))</f>
        <v>ML-CL-2</v>
      </c>
    </row>
    <row r="34" spans="1:28" ht="18.75" customHeight="1" x14ac:dyDescent="0.25">
      <c r="A34" s="33">
        <v>73.676858606239307</v>
      </c>
      <c r="B34" s="33">
        <v>1735.2941176470499</v>
      </c>
      <c r="C34" s="33"/>
      <c r="D34" s="40">
        <v>21</v>
      </c>
      <c r="E34" s="33">
        <v>404.04</v>
      </c>
      <c r="F34" s="33"/>
      <c r="K34" s="33">
        <v>73.676858606239307</v>
      </c>
      <c r="L34" s="33">
        <f t="shared" si="0"/>
        <v>19.627260824135412</v>
      </c>
      <c r="N34" s="40">
        <v>21</v>
      </c>
      <c r="O34" s="33">
        <f t="shared" si="4"/>
        <v>327.92666666666668</v>
      </c>
      <c r="Q34" s="40">
        <v>21</v>
      </c>
      <c r="R34" s="30" t="str">
        <f t="shared" si="1"/>
        <v>ML-CL-3</v>
      </c>
      <c r="T34" s="33">
        <v>9.5</v>
      </c>
      <c r="U34" s="33">
        <f t="shared" si="5"/>
        <v>230.5</v>
      </c>
      <c r="V34" s="40">
        <f t="shared" si="2"/>
        <v>240</v>
      </c>
      <c r="W34" s="30" t="s">
        <v>46</v>
      </c>
      <c r="X34" s="33">
        <f t="shared" ca="1" si="3"/>
        <v>637.68084848484853</v>
      </c>
      <c r="Y34" s="40">
        <v>20</v>
      </c>
      <c r="Z34" s="40"/>
      <c r="AA34" s="33">
        <v>15.5</v>
      </c>
      <c r="AB34" s="30" t="str">
        <f t="array" ref="AB34">INDEX($W$3:$W$34, MATCH(1, (AA34&gt;=$U$3:$U$34) * (AA34&lt;$V$3:$V$34), 0))</f>
        <v>ML-CL-2</v>
      </c>
    </row>
    <row r="35" spans="1:28" ht="18.75" customHeight="1" x14ac:dyDescent="0.25">
      <c r="A35" s="33">
        <v>76.321201303740395</v>
      </c>
      <c r="B35" s="33">
        <v>1757.35294117647</v>
      </c>
      <c r="C35" s="33"/>
      <c r="D35" s="33">
        <v>21.5</v>
      </c>
      <c r="E35" s="33">
        <v>259.74</v>
      </c>
      <c r="F35" s="33"/>
      <c r="K35" s="33">
        <v>76.321201303740395</v>
      </c>
      <c r="L35" s="33">
        <f t="shared" ref="L35:L66" si="6">3.041*B35^0.25</f>
        <v>19.689340442093769</v>
      </c>
      <c r="N35" s="33">
        <v>21.5</v>
      </c>
      <c r="O35" s="33">
        <f t="shared" si="4"/>
        <v>315.15666666666669</v>
      </c>
      <c r="Q35" s="33">
        <v>21.5</v>
      </c>
      <c r="R35" s="30" t="str">
        <f t="shared" si="1"/>
        <v>ML-CL-3</v>
      </c>
      <c r="T35" s="40">
        <v>0</v>
      </c>
      <c r="U35" s="40">
        <f t="shared" si="5"/>
        <v>240</v>
      </c>
      <c r="V35" s="40">
        <f t="shared" si="2"/>
        <v>0</v>
      </c>
      <c r="X35" s="33"/>
      <c r="AA35" s="40">
        <v>16</v>
      </c>
      <c r="AB35" s="30" t="str">
        <f t="array" ref="AB35">INDEX($W$3:$W$34, MATCH(1, (AA35&gt;=$U$3:$U$34) * (AA35&lt;$V$3:$V$34), 0))</f>
        <v>ML-CL-2</v>
      </c>
    </row>
    <row r="36" spans="1:28" ht="18.75" customHeight="1" x14ac:dyDescent="0.25">
      <c r="A36" s="33">
        <v>78.323374204563095</v>
      </c>
      <c r="B36" s="33">
        <v>1845.5882352941101</v>
      </c>
      <c r="C36" s="33"/>
      <c r="D36" s="40">
        <v>22</v>
      </c>
      <c r="E36" s="33">
        <v>281.69</v>
      </c>
      <c r="F36" s="33"/>
      <c r="K36" s="33">
        <v>78.323374204563095</v>
      </c>
      <c r="L36" s="33">
        <f t="shared" si="6"/>
        <v>19.931965345667638</v>
      </c>
      <c r="N36" s="40">
        <v>22</v>
      </c>
      <c r="O36" s="33">
        <f t="shared" si="4"/>
        <v>254.14133333333336</v>
      </c>
      <c r="Q36" s="40">
        <v>22</v>
      </c>
      <c r="R36" s="30" t="str">
        <f t="shared" si="1"/>
        <v>ML-CL-3</v>
      </c>
      <c r="AA36" s="33">
        <v>16.5</v>
      </c>
      <c r="AB36" s="30" t="str">
        <f t="array" ref="AB36">INDEX($W$3:$W$34, MATCH(1, (AA36&gt;=$U$3:$U$34) * (AA36&lt;$V$3:$V$34), 0))</f>
        <v>ML-CL-2</v>
      </c>
    </row>
    <row r="37" spans="1:28" ht="18.75" customHeight="1" x14ac:dyDescent="0.25">
      <c r="A37" s="33">
        <v>80.317786745305</v>
      </c>
      <c r="B37" s="33">
        <v>1904.4117647058799</v>
      </c>
      <c r="C37" s="33"/>
      <c r="D37" s="33">
        <v>22.5</v>
      </c>
      <c r="E37" s="33">
        <v>220.994</v>
      </c>
      <c r="F37" s="33"/>
      <c r="K37" s="33">
        <v>80.317786745305</v>
      </c>
      <c r="L37" s="33">
        <f t="shared" si="6"/>
        <v>20.088922071939358</v>
      </c>
      <c r="N37" s="33">
        <v>22.5</v>
      </c>
      <c r="O37" s="33">
        <f t="shared" si="4"/>
        <v>253.03133333333335</v>
      </c>
      <c r="Q37" s="33">
        <v>22.5</v>
      </c>
      <c r="R37" s="30" t="str">
        <f t="shared" si="1"/>
        <v>ML-CL-3</v>
      </c>
      <c r="U37" s="33"/>
      <c r="AA37" s="40">
        <v>17</v>
      </c>
      <c r="AB37" s="30" t="str">
        <f t="array" ref="AB37">INDEX($W$3:$W$34, MATCH(1, (AA37&gt;=$U$3:$U$34) * (AA37&lt;$V$3:$V$34), 0))</f>
        <v>ML-CL-2</v>
      </c>
    </row>
    <row r="38" spans="1:28" ht="18.75" customHeight="1" x14ac:dyDescent="0.25">
      <c r="A38" s="33">
        <v>81.615706968803295</v>
      </c>
      <c r="B38" s="33">
        <v>1823.5294117646999</v>
      </c>
      <c r="C38" s="33"/>
      <c r="D38" s="40">
        <v>23</v>
      </c>
      <c r="E38" s="33">
        <v>256.41000000000003</v>
      </c>
      <c r="F38" s="33"/>
      <c r="K38" s="33">
        <v>81.615706968803295</v>
      </c>
      <c r="L38" s="33">
        <f t="shared" si="6"/>
        <v>19.872138861985668</v>
      </c>
      <c r="N38" s="40">
        <v>23</v>
      </c>
      <c r="O38" s="33">
        <f t="shared" si="4"/>
        <v>245.71466666666666</v>
      </c>
      <c r="Q38" s="40">
        <v>23</v>
      </c>
      <c r="R38" s="30" t="str">
        <f t="shared" si="1"/>
        <v>ML-CL-3</v>
      </c>
      <c r="AA38" s="33">
        <v>17.5</v>
      </c>
      <c r="AB38" s="30" t="str">
        <f t="array" ref="AB38">INDEX($W$3:$W$34, MATCH(1, (AA38&gt;=$U$3:$U$34) * (AA38&lt;$V$3:$V$34), 0))</f>
        <v>ML-CL-2</v>
      </c>
    </row>
    <row r="39" spans="1:28" ht="18.75" customHeight="1" x14ac:dyDescent="0.25">
      <c r="A39" s="33">
        <v>86.221480676703294</v>
      </c>
      <c r="B39" s="33">
        <v>1779.4117647058799</v>
      </c>
      <c r="C39" s="33"/>
      <c r="D39" s="33">
        <v>23.5</v>
      </c>
      <c r="E39" s="33">
        <v>259.74</v>
      </c>
      <c r="F39" s="33"/>
      <c r="K39" s="33">
        <v>86.221480676703294</v>
      </c>
      <c r="L39" s="33">
        <f t="shared" si="6"/>
        <v>19.750838349968767</v>
      </c>
      <c r="N39" s="33">
        <v>23.5</v>
      </c>
      <c r="O39" s="33">
        <f t="shared" si="4"/>
        <v>267.97333333333336</v>
      </c>
      <c r="Q39" s="33">
        <v>23.5</v>
      </c>
      <c r="R39" s="30" t="str">
        <f t="shared" si="1"/>
        <v>ML-CL-3</v>
      </c>
      <c r="AA39" s="40">
        <v>18</v>
      </c>
      <c r="AB39" s="30" t="str">
        <f t="array" ref="AB39">INDEX($W$3:$W$34, MATCH(1, (AA39&gt;=$U$3:$U$34) * (AA39&lt;$V$3:$V$34), 0))</f>
        <v>ML-CL-2</v>
      </c>
    </row>
    <row r="40" spans="1:28" ht="18.75" customHeight="1" x14ac:dyDescent="0.25">
      <c r="A40" s="33">
        <v>86.233121216824401</v>
      </c>
      <c r="B40" s="33">
        <v>1823.5294117646999</v>
      </c>
      <c r="C40" s="33"/>
      <c r="D40" s="40">
        <v>24</v>
      </c>
      <c r="E40" s="33">
        <v>287.77</v>
      </c>
      <c r="F40" s="33"/>
      <c r="K40" s="33">
        <v>86.233121216824401</v>
      </c>
      <c r="L40" s="33">
        <f t="shared" si="6"/>
        <v>19.872138861985668</v>
      </c>
      <c r="N40" s="40">
        <v>24</v>
      </c>
      <c r="O40" s="33">
        <f t="shared" si="4"/>
        <v>270.22266666666667</v>
      </c>
      <c r="Q40" s="40">
        <v>24</v>
      </c>
      <c r="R40" s="30" t="str">
        <f t="shared" si="1"/>
        <v>SP</v>
      </c>
      <c r="AA40" s="33">
        <v>18.5</v>
      </c>
      <c r="AB40" s="30" t="str">
        <f t="array" ref="AB40">INDEX($W$3:$W$34, MATCH(1, (AA40&gt;=$U$3:$U$34) * (AA40&lt;$V$3:$V$34), 0))</f>
        <v>CL-3</v>
      </c>
    </row>
    <row r="41" spans="1:28" ht="18.75" customHeight="1" x14ac:dyDescent="0.25">
      <c r="A41" s="33">
        <v>88.852242744063304</v>
      </c>
      <c r="B41" s="40">
        <v>1750</v>
      </c>
      <c r="C41" s="40"/>
      <c r="D41" s="33">
        <v>24.5</v>
      </c>
      <c r="E41" s="33">
        <v>263.15800000000002</v>
      </c>
      <c r="F41" s="33"/>
      <c r="K41" s="33">
        <v>88.852242744063304</v>
      </c>
      <c r="L41" s="33">
        <f t="shared" si="6"/>
        <v>19.668712503413467</v>
      </c>
      <c r="N41" s="33">
        <v>24.5</v>
      </c>
      <c r="O41" s="33">
        <f t="shared" si="4"/>
        <v>245.08666666666667</v>
      </c>
      <c r="Q41" s="33">
        <v>24.5</v>
      </c>
      <c r="R41" s="30" t="str">
        <f t="shared" si="1"/>
        <v>SP</v>
      </c>
      <c r="AA41" s="40">
        <v>19</v>
      </c>
      <c r="AB41" s="30" t="str">
        <f t="array" ref="AB41">INDEX($W$3:$W$34, MATCH(1, (AA41&gt;=$U$3:$U$34) * (AA41&lt;$V$3:$V$34), 0))</f>
        <v>CL-3</v>
      </c>
    </row>
    <row r="42" spans="1:28" ht="18.75" customHeight="1" x14ac:dyDescent="0.25">
      <c r="A42" s="33">
        <v>92.806146205183893</v>
      </c>
      <c r="B42" s="33">
        <v>1735.2941176470499</v>
      </c>
      <c r="C42" s="33"/>
      <c r="D42" s="40">
        <v>25</v>
      </c>
      <c r="E42" s="33">
        <v>184.33199999999999</v>
      </c>
      <c r="F42" s="33"/>
      <c r="K42" s="33">
        <v>92.806146205183893</v>
      </c>
      <c r="L42" s="33">
        <f t="shared" si="6"/>
        <v>19.627260824135412</v>
      </c>
      <c r="N42" s="40">
        <v>25</v>
      </c>
      <c r="O42" s="33">
        <f t="shared" si="4"/>
        <v>212.05633333333333</v>
      </c>
      <c r="Q42" s="40">
        <v>25</v>
      </c>
      <c r="R42" s="30" t="str">
        <f t="shared" si="1"/>
        <v>SP</v>
      </c>
      <c r="AA42" s="33">
        <v>19.5</v>
      </c>
      <c r="AB42" s="30" t="str">
        <f t="array" ref="AB42">INDEX($W$3:$W$34, MATCH(1, (AA42&gt;=$U$3:$U$34) * (AA42&lt;$V$3:$V$34), 0))</f>
        <v>CL-3</v>
      </c>
    </row>
    <row r="43" spans="1:28" ht="18.75" customHeight="1" x14ac:dyDescent="0.25">
      <c r="A43" s="33">
        <v>92.821666925345298</v>
      </c>
      <c r="B43" s="33">
        <v>1794.11764705882</v>
      </c>
      <c r="C43" s="33"/>
      <c r="D43" s="33">
        <v>25.5</v>
      </c>
      <c r="E43" s="33">
        <v>188.679</v>
      </c>
      <c r="F43" s="33"/>
      <c r="K43" s="33">
        <v>92.821666925345298</v>
      </c>
      <c r="L43" s="33">
        <f t="shared" si="6"/>
        <v>19.791520003901443</v>
      </c>
      <c r="N43" s="33">
        <v>25.5</v>
      </c>
      <c r="O43" s="33">
        <f t="shared" si="4"/>
        <v>204.17733333333331</v>
      </c>
      <c r="Q43" s="33">
        <v>25.5</v>
      </c>
      <c r="R43" s="30" t="str">
        <f t="shared" si="1"/>
        <v>SP</v>
      </c>
      <c r="AA43" s="40">
        <v>20</v>
      </c>
      <c r="AB43" s="30" t="str">
        <f t="array" ref="AB43">INDEX($W$3:$W$34, MATCH(1, (AA43&gt;=$U$3:$U$34) * (AA43&lt;$V$3:$V$34), 0))</f>
        <v>CL-3</v>
      </c>
    </row>
    <row r="44" spans="1:28" ht="18.75" customHeight="1" x14ac:dyDescent="0.25">
      <c r="A44" s="33">
        <v>96.791091106627306</v>
      </c>
      <c r="B44" s="33">
        <v>1838.23529411764</v>
      </c>
      <c r="C44" s="33"/>
      <c r="D44" s="40">
        <v>26</v>
      </c>
      <c r="E44" s="33">
        <v>239.52099999999999</v>
      </c>
      <c r="F44" s="33"/>
      <c r="K44" s="33">
        <v>96.791091106627306</v>
      </c>
      <c r="L44" s="33">
        <f t="shared" si="6"/>
        <v>19.912083061229797</v>
      </c>
      <c r="N44" s="40">
        <v>26</v>
      </c>
      <c r="O44" s="33">
        <f t="shared" si="4"/>
        <v>208.41466666666668</v>
      </c>
      <c r="Q44" s="40">
        <v>26</v>
      </c>
      <c r="R44" s="30" t="str">
        <f t="shared" si="1"/>
        <v>SP</v>
      </c>
      <c r="AA44" s="33">
        <v>20.5</v>
      </c>
      <c r="AB44" s="30" t="str">
        <f t="array" ref="AB44">INDEX($W$3:$W$34, MATCH(1, (AA44&gt;=$U$3:$U$34) * (AA44&lt;$V$3:$V$34), 0))</f>
        <v>CL-3</v>
      </c>
    </row>
    <row r="45" spans="1:28" ht="18.75" customHeight="1" x14ac:dyDescent="0.25">
      <c r="A45" s="33">
        <v>98.775803197268303</v>
      </c>
      <c r="B45" s="33">
        <v>1860.2941176470499</v>
      </c>
      <c r="C45" s="33"/>
      <c r="D45" s="33">
        <v>26.5</v>
      </c>
      <c r="E45" s="33">
        <v>197.04400000000001</v>
      </c>
      <c r="F45" s="33"/>
      <c r="K45" s="33">
        <v>98.775803197268303</v>
      </c>
      <c r="L45" s="33">
        <f t="shared" si="6"/>
        <v>19.971552363598445</v>
      </c>
      <c r="N45" s="33">
        <v>26.5</v>
      </c>
      <c r="O45" s="33">
        <f t="shared" si="4"/>
        <v>236.846</v>
      </c>
      <c r="Q45" s="33">
        <v>26.5</v>
      </c>
      <c r="R45" s="30" t="str">
        <f t="shared" si="1"/>
        <v>SP</v>
      </c>
      <c r="AA45" s="40">
        <v>21</v>
      </c>
      <c r="AB45" s="30" t="str">
        <f t="array" ref="AB45">INDEX($W$3:$W$34, MATCH(1, (AA45&gt;=$U$3:$U$34) * (AA45&lt;$V$3:$V$34), 0))</f>
        <v>ML-CL-3</v>
      </c>
    </row>
    <row r="46" spans="1:28" ht="18.75" customHeight="1" x14ac:dyDescent="0.25">
      <c r="A46" s="33">
        <v>102.072016141548</v>
      </c>
      <c r="B46" s="33">
        <v>1852.9411764705801</v>
      </c>
      <c r="C46" s="33"/>
      <c r="D46" s="40">
        <v>27</v>
      </c>
      <c r="E46" s="33">
        <v>273.97300000000001</v>
      </c>
      <c r="F46" s="33"/>
      <c r="K46" s="33">
        <v>102.072016141548</v>
      </c>
      <c r="L46" s="33">
        <f t="shared" si="6"/>
        <v>19.951788309344032</v>
      </c>
      <c r="N46" s="40">
        <v>27</v>
      </c>
      <c r="O46" s="33">
        <f t="shared" si="4"/>
        <v>244.72500000000002</v>
      </c>
      <c r="Q46" s="40">
        <v>27</v>
      </c>
      <c r="R46" s="30" t="str">
        <f t="shared" si="1"/>
        <v>SP</v>
      </c>
      <c r="AA46" s="33">
        <v>21.5</v>
      </c>
      <c r="AB46" s="30" t="str">
        <f t="array" ref="AB46">INDEX($W$3:$W$34, MATCH(1, (AA46&gt;=$U$3:$U$34) * (AA46&lt;$V$3:$V$34), 0))</f>
        <v>ML-CL-3</v>
      </c>
    </row>
    <row r="47" spans="1:28" ht="18.75" customHeight="1" x14ac:dyDescent="0.25">
      <c r="A47" s="33">
        <v>102.74134719851</v>
      </c>
      <c r="B47" s="33">
        <v>1889.7058823529401</v>
      </c>
      <c r="C47" s="33"/>
      <c r="D47" s="33">
        <v>27.5</v>
      </c>
      <c r="E47" s="33">
        <v>263.15800000000002</v>
      </c>
      <c r="F47" s="33"/>
      <c r="K47" s="33">
        <v>102.74134719851</v>
      </c>
      <c r="L47" s="33">
        <f t="shared" si="6"/>
        <v>20.050027558302347</v>
      </c>
      <c r="N47" s="33">
        <v>27.5</v>
      </c>
      <c r="O47" s="33">
        <f t="shared" si="4"/>
        <v>309.76266666666669</v>
      </c>
      <c r="Q47" s="33">
        <v>27.5</v>
      </c>
      <c r="R47" s="30" t="str">
        <f t="shared" si="1"/>
        <v>SP</v>
      </c>
      <c r="AA47" s="40">
        <v>22</v>
      </c>
      <c r="AB47" s="30" t="str">
        <f t="array" ref="AB47">INDEX($W$3:$W$34, MATCH(1, (AA47&gt;=$U$3:$U$34) * (AA47&lt;$V$3:$V$34), 0))</f>
        <v>ML-CL-3</v>
      </c>
    </row>
    <row r="48" spans="1:28" ht="18.75" customHeight="1" x14ac:dyDescent="0.25">
      <c r="A48" s="33">
        <v>104.704718298929</v>
      </c>
      <c r="B48" s="33">
        <v>1830.88235294117</v>
      </c>
      <c r="C48" s="33"/>
      <c r="D48" s="40">
        <v>28</v>
      </c>
      <c r="E48" s="33">
        <v>392.15699999999998</v>
      </c>
      <c r="F48" s="33"/>
      <c r="K48" s="33">
        <v>104.704718298929</v>
      </c>
      <c r="L48" s="33">
        <f t="shared" si="6"/>
        <v>19.892141040159455</v>
      </c>
      <c r="N48" s="40">
        <v>28</v>
      </c>
      <c r="O48" s="33">
        <f t="shared" si="4"/>
        <v>307.92366666666669</v>
      </c>
      <c r="Q48" s="40">
        <v>28</v>
      </c>
      <c r="R48" s="30" t="str">
        <f t="shared" si="1"/>
        <v>SP</v>
      </c>
      <c r="AA48" s="33">
        <v>22.5</v>
      </c>
      <c r="AB48" s="30" t="str">
        <f t="array" ref="AB48">INDEX($W$3:$W$34, MATCH(1, (AA48&gt;=$U$3:$U$34) * (AA48&lt;$V$3:$V$34), 0))</f>
        <v>ML-CL-3</v>
      </c>
    </row>
    <row r="49" spans="1:28" ht="18.75" customHeight="1" x14ac:dyDescent="0.25">
      <c r="A49" s="33">
        <v>109.98370324383001</v>
      </c>
      <c r="B49" s="33">
        <v>1838.23529411764</v>
      </c>
      <c r="C49" s="33"/>
      <c r="D49" s="33">
        <v>28.5</v>
      </c>
      <c r="E49" s="33">
        <v>268.45600000000002</v>
      </c>
      <c r="F49" s="33"/>
      <c r="K49" s="33">
        <v>109.98370324383001</v>
      </c>
      <c r="L49" s="33">
        <f t="shared" si="6"/>
        <v>19.912083061229797</v>
      </c>
      <c r="N49" s="33">
        <v>28.5</v>
      </c>
      <c r="O49" s="33">
        <f t="shared" si="4"/>
        <v>295.96200000000005</v>
      </c>
      <c r="Q49" s="33">
        <v>28.5</v>
      </c>
      <c r="R49" s="30" t="str">
        <f t="shared" si="1"/>
        <v>SP</v>
      </c>
      <c r="AA49" s="40">
        <v>23</v>
      </c>
      <c r="AB49" s="30" t="str">
        <f t="array" ref="AB49">INDEX($W$3:$W$34, MATCH(1, (AA49&gt;=$U$3:$U$34) * (AA49&lt;$V$3:$V$34), 0))</f>
        <v>ML-CL-3</v>
      </c>
    </row>
    <row r="50" spans="1:28" ht="18.75" customHeight="1" x14ac:dyDescent="0.25">
      <c r="A50" s="33">
        <v>111.310724817631</v>
      </c>
      <c r="B50" s="33">
        <v>1867.64705882352</v>
      </c>
      <c r="C50" s="33"/>
      <c r="D50" s="40">
        <v>29</v>
      </c>
      <c r="E50" s="33">
        <v>227.273</v>
      </c>
      <c r="F50" s="33"/>
      <c r="K50" s="33">
        <v>111.310724817631</v>
      </c>
      <c r="L50" s="33">
        <f t="shared" si="6"/>
        <v>19.991257915305873</v>
      </c>
      <c r="N50" s="40">
        <v>29</v>
      </c>
      <c r="O50" s="33">
        <f t="shared" si="4"/>
        <v>261.16633333333334</v>
      </c>
      <c r="Q50" s="40">
        <v>29</v>
      </c>
      <c r="R50" s="30" t="str">
        <f t="shared" si="1"/>
        <v>SP</v>
      </c>
      <c r="AA50" s="33">
        <v>23.5</v>
      </c>
      <c r="AB50" s="30" t="str">
        <f t="array" ref="AB50">INDEX($W$3:$W$34, MATCH(1, (AA50&gt;=$U$3:$U$34) * (AA50&lt;$V$3:$V$34), 0))</f>
        <v>ML-CL-3</v>
      </c>
    </row>
    <row r="51" spans="1:28" ht="18.75" customHeight="1" x14ac:dyDescent="0.25">
      <c r="A51" s="33">
        <v>112.629986031351</v>
      </c>
      <c r="B51" s="33">
        <v>1867.64705882352</v>
      </c>
      <c r="C51" s="33"/>
      <c r="D51" s="33">
        <v>29.5</v>
      </c>
      <c r="E51" s="33">
        <v>287.77</v>
      </c>
      <c r="F51" s="33"/>
      <c r="K51" s="33">
        <v>112.629986031351</v>
      </c>
      <c r="L51" s="33">
        <f t="shared" si="6"/>
        <v>19.991257915305873</v>
      </c>
      <c r="N51" s="33">
        <v>29.5</v>
      </c>
      <c r="O51" s="33">
        <f t="shared" si="4"/>
        <v>267.60433333333333</v>
      </c>
      <c r="Q51" s="33">
        <v>29.5</v>
      </c>
      <c r="R51" s="30" t="str">
        <f t="shared" si="1"/>
        <v>SP</v>
      </c>
      <c r="AA51" s="40">
        <v>24</v>
      </c>
      <c r="AB51" s="30" t="str">
        <f t="array" ref="AB51">INDEX($W$3:$W$34, MATCH(1, (AA51&gt;=$U$3:$U$34) * (AA51&lt;$V$3:$V$34), 0))</f>
        <v>SP</v>
      </c>
    </row>
    <row r="52" spans="1:28" ht="18.75" customHeight="1" x14ac:dyDescent="0.25">
      <c r="A52" s="33">
        <v>115.25880800869101</v>
      </c>
      <c r="B52" s="33">
        <v>1830.88235294117</v>
      </c>
      <c r="C52" s="33"/>
      <c r="D52" s="40">
        <v>30</v>
      </c>
      <c r="E52" s="33">
        <v>287.77</v>
      </c>
      <c r="F52" s="33"/>
      <c r="K52" s="33">
        <v>115.25880800869101</v>
      </c>
      <c r="L52" s="33">
        <f t="shared" si="6"/>
        <v>19.892141040159455</v>
      </c>
      <c r="N52" s="40">
        <v>30</v>
      </c>
      <c r="O52" s="33">
        <f t="shared" si="4"/>
        <v>285.74333333333334</v>
      </c>
      <c r="Q52" s="40">
        <v>30</v>
      </c>
      <c r="R52" s="30" t="str">
        <f t="shared" si="1"/>
        <v>SP-SM-2</v>
      </c>
      <c r="AA52" s="33">
        <v>24.5</v>
      </c>
      <c r="AB52" s="30" t="str">
        <f t="array" ref="AB52">INDEX($W$3:$W$34, MATCH(1, (AA52&gt;=$U$3:$U$34) * (AA52&lt;$V$3:$V$34), 0))</f>
        <v>SP</v>
      </c>
    </row>
    <row r="53" spans="1:28" ht="18.75" customHeight="1" x14ac:dyDescent="0.25">
      <c r="A53" s="33">
        <v>117.88374980599001</v>
      </c>
      <c r="B53" s="33">
        <v>1779.4117647058799</v>
      </c>
      <c r="C53" s="33"/>
      <c r="D53" s="33">
        <v>30.5</v>
      </c>
      <c r="E53" s="33">
        <v>281.69</v>
      </c>
      <c r="F53" s="33"/>
      <c r="K53" s="33">
        <v>117.88374980599001</v>
      </c>
      <c r="L53" s="33">
        <f t="shared" si="6"/>
        <v>19.750838349968767</v>
      </c>
      <c r="N53" s="33">
        <v>30.5</v>
      </c>
      <c r="O53" s="33">
        <f t="shared" si="4"/>
        <v>303.78000000000003</v>
      </c>
      <c r="Q53" s="33">
        <v>30.5</v>
      </c>
      <c r="R53" s="30" t="str">
        <f t="shared" si="1"/>
        <v>SP-SM-2</v>
      </c>
      <c r="AA53" s="40">
        <v>25</v>
      </c>
      <c r="AB53" s="30" t="str">
        <f t="array" ref="AB53">INDEX($W$3:$W$34, MATCH(1, (AA53&gt;=$U$3:$U$34) * (AA53&lt;$V$3:$V$34), 0))</f>
        <v>SP</v>
      </c>
    </row>
    <row r="54" spans="1:28" ht="18.75" customHeight="1" x14ac:dyDescent="0.25">
      <c r="A54" s="33">
        <v>118.580242123234</v>
      </c>
      <c r="B54" s="33">
        <v>1919.11764705882</v>
      </c>
      <c r="C54" s="33"/>
      <c r="D54" s="40">
        <v>31</v>
      </c>
      <c r="E54" s="33">
        <v>341.88</v>
      </c>
      <c r="F54" s="33"/>
      <c r="K54" s="33">
        <v>118.580242123234</v>
      </c>
      <c r="L54" s="33">
        <f t="shared" si="6"/>
        <v>20.127591975748398</v>
      </c>
      <c r="N54" s="40">
        <v>31</v>
      </c>
      <c r="O54" s="33">
        <f t="shared" si="4"/>
        <v>294.43666666666667</v>
      </c>
      <c r="Q54" s="40">
        <v>31</v>
      </c>
      <c r="R54" s="30" t="str">
        <f t="shared" si="1"/>
        <v>SP-SM-2</v>
      </c>
      <c r="AA54" s="33">
        <v>25.5</v>
      </c>
      <c r="AB54" s="30" t="str">
        <f t="array" ref="AB54">INDEX($W$3:$W$34, MATCH(1, (AA54&gt;=$U$3:$U$34) * (AA54&lt;$V$3:$V$34), 0))</f>
        <v>SP</v>
      </c>
    </row>
    <row r="55" spans="1:28" ht="18.75" customHeight="1" x14ac:dyDescent="0.25">
      <c r="A55" s="33">
        <v>119.872342076672</v>
      </c>
      <c r="B55" s="33">
        <v>1816.1764705882299</v>
      </c>
      <c r="C55" s="33"/>
      <c r="D55" s="33">
        <v>31.5</v>
      </c>
      <c r="E55" s="33">
        <v>259.74</v>
      </c>
      <c r="F55" s="33"/>
      <c r="K55" s="33">
        <v>119.872342076672</v>
      </c>
      <c r="L55" s="33">
        <f t="shared" si="6"/>
        <v>19.852076101567921</v>
      </c>
      <c r="N55" s="33">
        <v>31.5</v>
      </c>
      <c r="O55" s="33">
        <f t="shared" si="4"/>
        <v>286.56166666666667</v>
      </c>
      <c r="Q55" s="33">
        <v>31.5</v>
      </c>
      <c r="R55" s="30" t="str">
        <f t="shared" si="1"/>
        <v>SP-SM-2</v>
      </c>
      <c r="AA55" s="40">
        <v>26</v>
      </c>
      <c r="AB55" s="30" t="str">
        <f t="array" ref="AB55">INDEX($W$3:$W$34, MATCH(1, (AA55&gt;=$U$3:$U$34) * (AA55&lt;$V$3:$V$34), 0))</f>
        <v>SP</v>
      </c>
    </row>
    <row r="56" spans="1:28" ht="18.75" customHeight="1" x14ac:dyDescent="0.25">
      <c r="A56" s="33">
        <v>121.866754617414</v>
      </c>
      <c r="B56" s="33">
        <v>1874.99999999999</v>
      </c>
      <c r="C56" s="33"/>
      <c r="D56" s="40">
        <v>32</v>
      </c>
      <c r="E56" s="33">
        <v>258.065</v>
      </c>
      <c r="F56" s="33"/>
      <c r="K56" s="33">
        <v>121.866754617414</v>
      </c>
      <c r="L56" s="33">
        <f t="shared" si="6"/>
        <v>20.01090536694262</v>
      </c>
      <c r="N56" s="40">
        <v>32</v>
      </c>
      <c r="O56" s="33">
        <f t="shared" si="4"/>
        <v>277.58866666666671</v>
      </c>
      <c r="Q56" s="40">
        <v>32</v>
      </c>
      <c r="R56" s="30" t="str">
        <f t="shared" si="1"/>
        <v>SP-SM-2</v>
      </c>
      <c r="AA56" s="33">
        <v>26.5</v>
      </c>
      <c r="AB56" s="30" t="str">
        <f t="array" ref="AB56">INDEX($W$3:$W$34, MATCH(1, (AA56&gt;=$U$3:$U$34) * (AA56&lt;$V$3:$V$34), 0))</f>
        <v>SP</v>
      </c>
    </row>
    <row r="57" spans="1:28" ht="18.75" customHeight="1" x14ac:dyDescent="0.25">
      <c r="A57" s="33">
        <v>127.13215893217399</v>
      </c>
      <c r="B57" s="33">
        <v>1830.88235294117</v>
      </c>
      <c r="C57" s="33"/>
      <c r="D57" s="33">
        <v>32.5</v>
      </c>
      <c r="E57" s="33">
        <v>314.96100000000001</v>
      </c>
      <c r="F57" s="33"/>
      <c r="K57" s="33">
        <v>127.13215893217399</v>
      </c>
      <c r="L57" s="33">
        <f t="shared" si="6"/>
        <v>19.892141040159455</v>
      </c>
      <c r="N57" s="33">
        <v>32.5</v>
      </c>
      <c r="O57" s="33">
        <f t="shared" si="4"/>
        <v>279.89766666666668</v>
      </c>
      <c r="Q57" s="33">
        <v>32.5</v>
      </c>
      <c r="R57" s="30" t="str">
        <f t="shared" si="1"/>
        <v>SP-SM-2</v>
      </c>
      <c r="AA57" s="40">
        <v>27</v>
      </c>
      <c r="AB57" s="30" t="str">
        <f t="array" ref="AB57">INDEX($W$3:$W$34, MATCH(1, (AA57&gt;=$U$3:$U$34) * (AA57&lt;$V$3:$V$34), 0))</f>
        <v>SP</v>
      </c>
    </row>
    <row r="58" spans="1:28" ht="18.75" customHeight="1" x14ac:dyDescent="0.25">
      <c r="A58" s="33">
        <v>127.147679652335</v>
      </c>
      <c r="B58" s="33">
        <v>1889.7058823529401</v>
      </c>
      <c r="C58" s="33"/>
      <c r="D58" s="40">
        <v>33</v>
      </c>
      <c r="E58" s="33">
        <v>266.66699999999997</v>
      </c>
      <c r="F58" s="33"/>
      <c r="K58" s="33">
        <v>127.147679652335</v>
      </c>
      <c r="L58" s="33">
        <f t="shared" si="6"/>
        <v>20.050027558302347</v>
      </c>
      <c r="N58" s="40">
        <v>33</v>
      </c>
      <c r="O58" s="33">
        <f t="shared" si="4"/>
        <v>273.24099999999999</v>
      </c>
      <c r="Q58" s="40">
        <v>33</v>
      </c>
      <c r="R58" s="30" t="str">
        <f t="shared" si="1"/>
        <v>SP-SM-2</v>
      </c>
      <c r="AA58" s="33">
        <v>27.5</v>
      </c>
      <c r="AB58" s="30" t="str">
        <f t="array" ref="AB58">INDEX($W$3:$W$34, MATCH(1, (AA58&gt;=$U$3:$U$34) * (AA58&lt;$V$3:$V$34), 0))</f>
        <v>SP</v>
      </c>
    </row>
    <row r="59" spans="1:28" ht="18.75" customHeight="1" x14ac:dyDescent="0.25">
      <c r="A59" s="33">
        <v>132.41696414713601</v>
      </c>
      <c r="B59" s="33">
        <v>1860.2941176470499</v>
      </c>
      <c r="C59" s="33"/>
      <c r="D59" s="33">
        <v>33.5</v>
      </c>
      <c r="E59" s="33">
        <v>238.095</v>
      </c>
      <c r="F59" s="33"/>
      <c r="K59" s="33">
        <v>132.41696414713601</v>
      </c>
      <c r="L59" s="33">
        <f t="shared" si="6"/>
        <v>19.971552363598445</v>
      </c>
      <c r="N59" s="33">
        <v>33.5</v>
      </c>
      <c r="O59" s="33">
        <f t="shared" si="4"/>
        <v>235.93600000000001</v>
      </c>
      <c r="Q59" s="33">
        <v>33.5</v>
      </c>
      <c r="R59" s="30" t="str">
        <f t="shared" si="1"/>
        <v>SP-SM-2</v>
      </c>
      <c r="AA59" s="40">
        <v>28</v>
      </c>
      <c r="AB59" s="30" t="str">
        <f t="array" ref="AB59">INDEX($W$3:$W$34, MATCH(1, (AA59&gt;=$U$3:$U$34) * (AA59&lt;$V$3:$V$34), 0))</f>
        <v>SP</v>
      </c>
    </row>
    <row r="60" spans="1:28" ht="18.75" customHeight="1" x14ac:dyDescent="0.25">
      <c r="A60" s="33">
        <v>134.42883749805901</v>
      </c>
      <c r="B60" s="33">
        <v>1985.2941176470499</v>
      </c>
      <c r="C60" s="33"/>
      <c r="D60" s="40">
        <v>34</v>
      </c>
      <c r="E60" s="33">
        <v>203.04599999999999</v>
      </c>
      <c r="F60" s="33"/>
      <c r="K60" s="33">
        <v>134.42883749805901</v>
      </c>
      <c r="L60" s="33">
        <f t="shared" si="6"/>
        <v>20.298906076860209</v>
      </c>
      <c r="N60" s="40">
        <v>34</v>
      </c>
      <c r="O60" s="33">
        <f t="shared" si="4"/>
        <v>203.78466666666665</v>
      </c>
      <c r="Q60" s="40">
        <v>34</v>
      </c>
      <c r="R60" s="30" t="str">
        <f t="shared" si="1"/>
        <v>SP-SM-2</v>
      </c>
      <c r="AA60" s="33">
        <v>28.5</v>
      </c>
      <c r="AB60" s="30" t="str">
        <f t="array" ref="AB60">INDEX($W$3:$W$34, MATCH(1, (AA60&gt;=$U$3:$U$34) * (AA60&lt;$V$3:$V$34), 0))</f>
        <v>SP</v>
      </c>
    </row>
    <row r="61" spans="1:28" ht="18.75" customHeight="1" x14ac:dyDescent="0.25">
      <c r="A61" s="33">
        <v>135.72675772155799</v>
      </c>
      <c r="B61" s="33">
        <v>1904.4117647058799</v>
      </c>
      <c r="C61" s="33"/>
      <c r="D61" s="33">
        <v>34.5</v>
      </c>
      <c r="E61" s="33">
        <v>170.21299999999999</v>
      </c>
      <c r="F61" s="33"/>
      <c r="K61" s="33">
        <v>135.72675772155799</v>
      </c>
      <c r="L61" s="33">
        <f t="shared" si="6"/>
        <v>20.088922071939358</v>
      </c>
      <c r="N61" s="33">
        <v>34.5</v>
      </c>
      <c r="O61" s="33">
        <f t="shared" si="4"/>
        <v>186.72499999999999</v>
      </c>
      <c r="Q61" s="33">
        <v>34.5</v>
      </c>
      <c r="R61" s="30" t="str">
        <f t="shared" si="1"/>
        <v>SP-SM-2</v>
      </c>
      <c r="AA61" s="40">
        <v>29</v>
      </c>
      <c r="AB61" s="30" t="str">
        <f t="array" ref="AB61">INDEX($W$3:$W$34, MATCH(1, (AA61&gt;=$U$3:$U$34) * (AA61&lt;$V$3:$V$34), 0))</f>
        <v>SP</v>
      </c>
    </row>
    <row r="62" spans="1:28" ht="18.75" customHeight="1" x14ac:dyDescent="0.25">
      <c r="A62" s="33">
        <v>139.665140462517</v>
      </c>
      <c r="B62" s="33">
        <v>1830.88235294117</v>
      </c>
      <c r="C62" s="33"/>
      <c r="D62" s="40">
        <v>35</v>
      </c>
      <c r="E62" s="33">
        <v>186.916</v>
      </c>
      <c r="F62" s="33"/>
      <c r="K62" s="33">
        <v>139.665140462517</v>
      </c>
      <c r="L62" s="33">
        <f t="shared" si="6"/>
        <v>19.892141040159455</v>
      </c>
      <c r="N62" s="40">
        <v>35</v>
      </c>
      <c r="O62" s="33">
        <f t="shared" si="4"/>
        <v>191.11500000000001</v>
      </c>
      <c r="Q62" s="40">
        <v>35</v>
      </c>
      <c r="R62" s="30" t="str">
        <f t="shared" si="1"/>
        <v>SP-SM-2</v>
      </c>
      <c r="AA62" s="33">
        <v>29.5</v>
      </c>
      <c r="AB62" s="30" t="str">
        <f t="array" ref="AB62">INDEX($W$3:$W$34, MATCH(1, (AA62&gt;=$U$3:$U$34) * (AA62&lt;$V$3:$V$34), 0))</f>
        <v>SP</v>
      </c>
    </row>
    <row r="63" spans="1:28" ht="18.75" customHeight="1" x14ac:dyDescent="0.25">
      <c r="A63" s="33">
        <v>141.66343318329899</v>
      </c>
      <c r="B63" s="33">
        <v>1904.4117647058799</v>
      </c>
      <c r="C63" s="33"/>
      <c r="D63" s="33">
        <v>35.5</v>
      </c>
      <c r="E63" s="33">
        <v>216.21600000000001</v>
      </c>
      <c r="F63" s="33"/>
      <c r="K63" s="33">
        <v>141.66343318329899</v>
      </c>
      <c r="L63" s="33">
        <f t="shared" si="6"/>
        <v>20.088922071939358</v>
      </c>
      <c r="N63" s="33">
        <v>35.5</v>
      </c>
      <c r="O63" s="33">
        <f t="shared" si="4"/>
        <v>199.41800000000001</v>
      </c>
      <c r="Q63" s="33">
        <v>35.5</v>
      </c>
      <c r="R63" s="30" t="str">
        <f t="shared" si="1"/>
        <v>SP-SM-2</v>
      </c>
      <c r="AA63" s="40">
        <v>30</v>
      </c>
      <c r="AB63" s="30" t="str">
        <f t="array" ref="AB63">INDEX($W$3:$W$34, MATCH(1, (AA63&gt;=$U$3:$U$34) * (AA63&lt;$V$3:$V$34), 0))</f>
        <v>SP-SM-2</v>
      </c>
    </row>
    <row r="64" spans="1:28" ht="18.75" customHeight="1" x14ac:dyDescent="0.25">
      <c r="A64" s="33">
        <v>145.62897718454099</v>
      </c>
      <c r="B64" s="33">
        <v>1933.8235294117601</v>
      </c>
      <c r="C64" s="33"/>
      <c r="D64" s="40">
        <v>36</v>
      </c>
      <c r="E64" s="33">
        <v>195.12200000000001</v>
      </c>
      <c r="F64" s="33"/>
      <c r="K64" s="33">
        <v>145.62897718454099</v>
      </c>
      <c r="L64" s="33">
        <f t="shared" si="6"/>
        <v>20.166040273158838</v>
      </c>
      <c r="N64" s="40">
        <v>36</v>
      </c>
      <c r="O64" s="33">
        <f t="shared" si="4"/>
        <v>212.87033333333332</v>
      </c>
      <c r="Q64" s="40">
        <v>36</v>
      </c>
      <c r="R64" s="30" t="str">
        <f t="shared" si="1"/>
        <v>CL-4</v>
      </c>
      <c r="AA64" s="33">
        <v>30.5</v>
      </c>
      <c r="AB64" s="30" t="str">
        <f t="array" ref="AB64">INDEX($W$3:$W$34, MATCH(1, (AA64&gt;=$U$3:$U$34) * (AA64&lt;$V$3:$V$34), 0))</f>
        <v>SP-SM-2</v>
      </c>
    </row>
    <row r="65" spans="1:28" ht="18.75" customHeight="1" x14ac:dyDescent="0.25">
      <c r="A65" s="33">
        <v>146.9327176781</v>
      </c>
      <c r="B65" s="33">
        <v>1874.99999999999</v>
      </c>
      <c r="C65" s="33"/>
      <c r="D65" s="33">
        <v>36.5</v>
      </c>
      <c r="E65" s="33">
        <v>227.273</v>
      </c>
      <c r="F65" s="33"/>
      <c r="K65" s="33">
        <v>146.9327176781</v>
      </c>
      <c r="L65" s="33">
        <f t="shared" si="6"/>
        <v>20.01090536694262</v>
      </c>
      <c r="N65" s="33">
        <v>36.5</v>
      </c>
      <c r="O65" s="33">
        <f t="shared" si="4"/>
        <v>209.88300000000001</v>
      </c>
      <c r="Q65" s="33">
        <v>36.5</v>
      </c>
      <c r="R65" s="30" t="str">
        <f t="shared" si="1"/>
        <v>CL-4</v>
      </c>
      <c r="AA65" s="40">
        <v>31</v>
      </c>
      <c r="AB65" s="30" t="str">
        <f t="array" ref="AB65">INDEX($W$3:$W$34, MATCH(1, (AA65&gt;=$U$3:$U$34) * (AA65&lt;$V$3:$V$34), 0))</f>
        <v>SP-SM-2</v>
      </c>
    </row>
    <row r="66" spans="1:28" ht="18.75" customHeight="1" x14ac:dyDescent="0.25">
      <c r="A66" s="33">
        <v>152.20588235294099</v>
      </c>
      <c r="B66" s="33">
        <v>1860.2941176470499</v>
      </c>
      <c r="C66" s="33"/>
      <c r="D66" s="40">
        <v>37</v>
      </c>
      <c r="E66" s="33">
        <v>207.25399999999999</v>
      </c>
      <c r="F66" s="33"/>
      <c r="K66" s="33">
        <v>152.20588235294099</v>
      </c>
      <c r="L66" s="33">
        <f t="shared" si="6"/>
        <v>19.971552363598445</v>
      </c>
      <c r="N66" s="40">
        <v>37</v>
      </c>
      <c r="O66" s="33">
        <f t="shared" si="4"/>
        <v>211.84399999999997</v>
      </c>
      <c r="Q66" s="40">
        <v>37</v>
      </c>
      <c r="R66" s="30" t="str">
        <f t="shared" si="1"/>
        <v>CL-4</v>
      </c>
      <c r="AA66" s="33">
        <v>31.5</v>
      </c>
      <c r="AB66" s="30" t="str">
        <f t="array" ref="AB66">INDEX($W$3:$W$34, MATCH(1, (AA66&gt;=$U$3:$U$34) * (AA66&lt;$V$3:$V$34), 0))</f>
        <v>SP-SM-2</v>
      </c>
    </row>
    <row r="67" spans="1:28" ht="18.75" customHeight="1" x14ac:dyDescent="0.25">
      <c r="A67" s="33">
        <v>153.53678410678199</v>
      </c>
      <c r="B67" s="33">
        <v>1904.4117647058799</v>
      </c>
      <c r="C67" s="33"/>
      <c r="D67" s="33">
        <v>37.5</v>
      </c>
      <c r="E67" s="33">
        <v>201.005</v>
      </c>
      <c r="F67" s="33"/>
      <c r="K67" s="33">
        <v>153.53678410678199</v>
      </c>
      <c r="L67" s="33">
        <f t="shared" ref="L67:L82" si="7">3.041*B67^0.25</f>
        <v>20.088922071939358</v>
      </c>
      <c r="N67" s="33">
        <v>37.5</v>
      </c>
      <c r="O67" s="33">
        <f t="shared" si="4"/>
        <v>203.76833333333335</v>
      </c>
      <c r="Q67" s="33">
        <v>37.5</v>
      </c>
      <c r="R67" s="30" t="str">
        <f t="shared" ref="R67:R130" si="8">_xlfn.XLOOKUP(N67,$AA$3:$AA$307,$AB$3:$AB$307)</f>
        <v>CL-4</v>
      </c>
      <c r="AA67" s="40">
        <v>32</v>
      </c>
      <c r="AB67" s="30" t="str">
        <f t="array" ref="AB67">INDEX($W$3:$W$34, MATCH(1, (AA67&gt;=$U$3:$U$34) * (AA67&lt;$V$3:$V$34), 0))</f>
        <v>SP-SM-2</v>
      </c>
    </row>
    <row r="68" spans="1:28" ht="18.75" customHeight="1" x14ac:dyDescent="0.25">
      <c r="A68" s="33">
        <v>158.80218842154201</v>
      </c>
      <c r="B68" s="33">
        <v>1860.2941176470499</v>
      </c>
      <c r="C68" s="33"/>
      <c r="D68" s="40">
        <v>38</v>
      </c>
      <c r="E68" s="33">
        <v>203.04599999999999</v>
      </c>
      <c r="F68" s="33"/>
      <c r="K68" s="33">
        <v>158.80218842154201</v>
      </c>
      <c r="L68" s="33">
        <f t="shared" si="7"/>
        <v>19.971552363598445</v>
      </c>
      <c r="N68" s="40">
        <v>38</v>
      </c>
      <c r="O68" s="33">
        <f t="shared" ref="O68:O131" si="9">AVERAGE(E67:E69)</f>
        <v>212.20299999999997</v>
      </c>
      <c r="Q68" s="40">
        <v>38</v>
      </c>
      <c r="R68" s="30" t="str">
        <f t="shared" si="8"/>
        <v>CL-4</v>
      </c>
      <c r="AA68" s="33">
        <v>32.5</v>
      </c>
      <c r="AB68" s="30" t="str">
        <f t="array" ref="AB68">INDEX($W$3:$W$34, MATCH(1, (AA68&gt;=$U$3:$U$34) * (AA68&lt;$V$3:$V$34), 0))</f>
        <v>SP-SM-2</v>
      </c>
    </row>
    <row r="69" spans="1:28" ht="18.75" customHeight="1" x14ac:dyDescent="0.25">
      <c r="A69" s="33">
        <v>159.47733974856399</v>
      </c>
      <c r="B69" s="33">
        <v>1919.11764705882</v>
      </c>
      <c r="C69" s="33"/>
      <c r="D69" s="33">
        <v>38.5</v>
      </c>
      <c r="E69" s="33">
        <v>232.55799999999999</v>
      </c>
      <c r="F69" s="33"/>
      <c r="K69" s="33">
        <v>159.47733974856399</v>
      </c>
      <c r="L69" s="33">
        <f t="shared" si="7"/>
        <v>20.127591975748398</v>
      </c>
      <c r="N69" s="33">
        <v>38.5</v>
      </c>
      <c r="O69" s="33">
        <f t="shared" si="9"/>
        <v>213.92999999999998</v>
      </c>
      <c r="Q69" s="33">
        <v>38.5</v>
      </c>
      <c r="R69" s="30" t="str">
        <f t="shared" si="8"/>
        <v>CL-4</v>
      </c>
      <c r="AA69" s="40">
        <v>33</v>
      </c>
      <c r="AB69" s="30" t="str">
        <f t="array" ref="AB69">INDEX($W$3:$W$34, MATCH(1, (AA69&gt;=$U$3:$U$34) * (AA69&lt;$V$3:$V$34), 0))</f>
        <v>SP-SM-2</v>
      </c>
    </row>
    <row r="70" spans="1:28" ht="18.75" customHeight="1" x14ac:dyDescent="0.25">
      <c r="A70" s="33">
        <v>162.77161260282401</v>
      </c>
      <c r="B70" s="33">
        <v>1904.4117647058799</v>
      </c>
      <c r="C70" s="33"/>
      <c r="D70" s="40">
        <v>39</v>
      </c>
      <c r="E70" s="33">
        <v>206.18600000000001</v>
      </c>
      <c r="F70" s="33"/>
      <c r="K70" s="33">
        <v>162.77161260282401</v>
      </c>
      <c r="L70" s="33">
        <f t="shared" si="7"/>
        <v>20.088922071939358</v>
      </c>
      <c r="N70" s="40">
        <v>39</v>
      </c>
      <c r="O70" s="33">
        <f t="shared" si="9"/>
        <v>216.42333333333332</v>
      </c>
      <c r="Q70" s="40">
        <v>39</v>
      </c>
      <c r="R70" s="30" t="str">
        <f t="shared" si="8"/>
        <v>CL-4</v>
      </c>
      <c r="AA70" s="33">
        <v>33.5</v>
      </c>
      <c r="AB70" s="30" t="str">
        <f t="array" ref="AB70">INDEX($W$3:$W$34, MATCH(1, (AA70&gt;=$U$3:$U$34) * (AA70&lt;$V$3:$V$34), 0))</f>
        <v>SP-SM-2</v>
      </c>
    </row>
    <row r="71" spans="1:28" ht="18.75" customHeight="1" x14ac:dyDescent="0.25">
      <c r="A71" s="33">
        <v>168.03895700760501</v>
      </c>
      <c r="B71" s="33">
        <v>1867.64705882352</v>
      </c>
      <c r="C71" s="33"/>
      <c r="D71" s="33">
        <v>39.5</v>
      </c>
      <c r="E71" s="33">
        <v>210.52600000000001</v>
      </c>
      <c r="F71" s="33"/>
      <c r="K71" s="33">
        <v>168.03895700760501</v>
      </c>
      <c r="L71" s="33">
        <f t="shared" si="7"/>
        <v>19.991257915305873</v>
      </c>
      <c r="N71" s="33">
        <v>39.5</v>
      </c>
      <c r="O71" s="33">
        <f t="shared" si="9"/>
        <v>214.23366666666666</v>
      </c>
      <c r="Q71" s="33">
        <v>39.5</v>
      </c>
      <c r="R71" s="30" t="str">
        <f t="shared" si="8"/>
        <v>CL-4</v>
      </c>
      <c r="AA71" s="40">
        <v>34</v>
      </c>
      <c r="AB71" s="30" t="str">
        <f t="array" ref="AB71">INDEX($W$3:$W$34, MATCH(1, (AA71&gt;=$U$3:$U$34) * (AA71&lt;$V$3:$V$34), 0))</f>
        <v>SP-SM-2</v>
      </c>
    </row>
    <row r="72" spans="1:28" ht="18.75" customHeight="1" x14ac:dyDescent="0.25">
      <c r="A72" s="33">
        <v>171.987040198665</v>
      </c>
      <c r="B72" s="33">
        <v>1830.88235294117</v>
      </c>
      <c r="C72" s="33"/>
      <c r="D72" s="40">
        <v>40</v>
      </c>
      <c r="E72" s="33">
        <v>225.989</v>
      </c>
      <c r="F72" s="33"/>
      <c r="K72" s="33">
        <v>171.987040198665</v>
      </c>
      <c r="L72" s="33">
        <f t="shared" si="7"/>
        <v>19.892141040159455</v>
      </c>
      <c r="N72" s="40">
        <v>40</v>
      </c>
      <c r="O72" s="33">
        <f t="shared" si="9"/>
        <v>217.03566666666666</v>
      </c>
      <c r="Q72" s="40">
        <v>40</v>
      </c>
      <c r="R72" s="30" t="str">
        <f t="shared" si="8"/>
        <v>CL-4</v>
      </c>
      <c r="AA72" s="33">
        <v>34.5</v>
      </c>
      <c r="AB72" s="30" t="str">
        <f t="array" ref="AB72">INDEX($W$3:$W$34, MATCH(1, (AA72&gt;=$U$3:$U$34) * (AA72&lt;$V$3:$V$34), 0))</f>
        <v>SP-SM-2</v>
      </c>
    </row>
    <row r="73" spans="1:28" ht="18.75" customHeight="1" x14ac:dyDescent="0.25">
      <c r="A73" s="33">
        <v>171.99868073878599</v>
      </c>
      <c r="B73" s="33">
        <v>1874.99999999999</v>
      </c>
      <c r="C73" s="33"/>
      <c r="D73" s="33">
        <v>40.5</v>
      </c>
      <c r="E73" s="33">
        <v>214.59200000000001</v>
      </c>
      <c r="F73" s="33"/>
      <c r="K73" s="33">
        <v>171.99868073878599</v>
      </c>
      <c r="L73" s="33">
        <f t="shared" si="7"/>
        <v>20.01090536694262</v>
      </c>
      <c r="N73" s="33">
        <v>40.5</v>
      </c>
      <c r="O73" s="33">
        <f t="shared" si="9"/>
        <v>212.34833333333336</v>
      </c>
      <c r="Q73" s="33">
        <v>40.5</v>
      </c>
      <c r="R73" s="30" t="str">
        <f t="shared" si="8"/>
        <v>CL-4</v>
      </c>
      <c r="AA73" s="40">
        <v>35</v>
      </c>
      <c r="AB73" s="30" t="str">
        <f t="array" ref="AB73">INDEX($W$3:$W$34, MATCH(1, (AA73&gt;=$U$3:$U$34) * (AA73&lt;$V$3:$V$34), 0))</f>
        <v>SP-SM-2</v>
      </c>
    </row>
    <row r="74" spans="1:28" ht="18.75" customHeight="1" x14ac:dyDescent="0.25">
      <c r="A74" s="33">
        <v>175.29877386310699</v>
      </c>
      <c r="B74" s="33">
        <v>1882.35294117647</v>
      </c>
      <c r="C74" s="33"/>
      <c r="D74" s="40">
        <v>41</v>
      </c>
      <c r="E74" s="33">
        <v>196.464</v>
      </c>
      <c r="F74" s="33"/>
      <c r="K74" s="33">
        <v>175.29877386310699</v>
      </c>
      <c r="L74" s="33">
        <f t="shared" si="7"/>
        <v>20.030495116650954</v>
      </c>
      <c r="N74" s="40">
        <v>41</v>
      </c>
      <c r="O74" s="33">
        <f t="shared" si="9"/>
        <v>204.495</v>
      </c>
      <c r="Q74" s="40">
        <v>41</v>
      </c>
      <c r="R74" s="30" t="str">
        <f t="shared" si="8"/>
        <v>CL-4</v>
      </c>
      <c r="AA74" s="33">
        <v>35.5</v>
      </c>
      <c r="AB74" s="30" t="str">
        <f t="array" ref="AB74">INDEX($W$3:$W$34, MATCH(1, (AA74&gt;=$U$3:$U$34) * (AA74&lt;$V$3:$V$34), 0))</f>
        <v>SP-SM-2</v>
      </c>
    </row>
    <row r="75" spans="1:28" ht="18.75" customHeight="1" x14ac:dyDescent="0.25">
      <c r="A75" s="33">
        <v>178.596926897408</v>
      </c>
      <c r="B75" s="33">
        <v>1882.35294117647</v>
      </c>
      <c r="C75" s="33"/>
      <c r="D75" s="33">
        <v>41.5</v>
      </c>
      <c r="E75" s="33">
        <v>202.429</v>
      </c>
      <c r="F75" s="33"/>
      <c r="K75" s="33">
        <v>178.596926897408</v>
      </c>
      <c r="L75" s="33">
        <f t="shared" si="7"/>
        <v>20.030495116650954</v>
      </c>
      <c r="N75" s="33">
        <v>41.5</v>
      </c>
      <c r="O75" s="33">
        <f t="shared" si="9"/>
        <v>212.32933333333335</v>
      </c>
      <c r="Q75" s="33">
        <v>41.5</v>
      </c>
      <c r="R75" s="30" t="str">
        <f t="shared" si="8"/>
        <v>CL-4</v>
      </c>
      <c r="AA75" s="40">
        <v>36</v>
      </c>
      <c r="AB75" s="30" t="str">
        <f t="array" ref="AB75">INDEX($W$3:$W$34, MATCH(1, (AA75&gt;=$U$3:$U$34) * (AA75&lt;$V$3:$V$34), 0))</f>
        <v>CL-4</v>
      </c>
    </row>
    <row r="76" spans="1:28" ht="18.75" customHeight="1" x14ac:dyDescent="0.25">
      <c r="A76" s="33">
        <v>183.88561229241</v>
      </c>
      <c r="B76" s="33">
        <v>1926.4705882352901</v>
      </c>
      <c r="C76" s="33"/>
      <c r="D76" s="40">
        <v>42</v>
      </c>
      <c r="E76" s="33">
        <v>238.095</v>
      </c>
      <c r="F76" s="33"/>
      <c r="K76" s="33">
        <v>183.88561229241</v>
      </c>
      <c r="L76" s="33">
        <f t="shared" si="7"/>
        <v>20.146843640006708</v>
      </c>
      <c r="N76" s="40">
        <v>42</v>
      </c>
      <c r="O76" s="33">
        <f t="shared" si="9"/>
        <v>224.54133333333334</v>
      </c>
      <c r="Q76" s="40">
        <v>42</v>
      </c>
      <c r="R76" s="30" t="str">
        <f t="shared" si="8"/>
        <v>CL-4</v>
      </c>
      <c r="AA76" s="33">
        <v>36.5</v>
      </c>
      <c r="AB76" s="30" t="str">
        <f t="array" ref="AB76">INDEX($W$3:$W$34, MATCH(1, (AA76&gt;=$U$3:$U$34) * (AA76&lt;$V$3:$V$34), 0))</f>
        <v>CL-4</v>
      </c>
    </row>
    <row r="77" spans="1:28" ht="18.75" customHeight="1" x14ac:dyDescent="0.25">
      <c r="A77" s="33">
        <v>187.83563557349001</v>
      </c>
      <c r="B77" s="33">
        <v>1897.0588235294099</v>
      </c>
      <c r="C77" s="33"/>
      <c r="D77" s="33">
        <v>42.5</v>
      </c>
      <c r="E77" s="33">
        <v>233.1</v>
      </c>
      <c r="F77" s="33"/>
      <c r="K77" s="33">
        <v>187.83563557349001</v>
      </c>
      <c r="L77" s="33">
        <f t="shared" si="7"/>
        <v>20.069503081559919</v>
      </c>
      <c r="N77" s="33">
        <v>42.5</v>
      </c>
      <c r="O77" s="33">
        <f t="shared" si="9"/>
        <v>232.65066666666667</v>
      </c>
      <c r="Q77" s="33">
        <v>42.5</v>
      </c>
      <c r="R77" s="30" t="str">
        <f t="shared" si="8"/>
        <v>CL-4</v>
      </c>
      <c r="AA77" s="40">
        <v>37</v>
      </c>
      <c r="AB77" s="30" t="str">
        <f t="array" ref="AB77">INDEX($W$3:$W$34, MATCH(1, (AA77&gt;=$U$3:$U$34) * (AA77&lt;$V$3:$V$34), 0))</f>
        <v>CL-4</v>
      </c>
    </row>
    <row r="78" spans="1:28" ht="18.75" customHeight="1" x14ac:dyDescent="0.25">
      <c r="A78" s="33">
        <v>188.51078690051199</v>
      </c>
      <c r="B78" s="33">
        <v>1955.88235294117</v>
      </c>
      <c r="C78" s="33"/>
      <c r="D78" s="40">
        <v>43</v>
      </c>
      <c r="E78" s="33">
        <v>226.75700000000001</v>
      </c>
      <c r="F78" s="33"/>
      <c r="K78" s="33">
        <v>188.51078690051199</v>
      </c>
      <c r="L78" s="33">
        <f t="shared" si="7"/>
        <v>20.223303623581266</v>
      </c>
      <c r="N78" s="40">
        <v>43</v>
      </c>
      <c r="O78" s="33">
        <f t="shared" si="9"/>
        <v>234.38866666666664</v>
      </c>
      <c r="Q78" s="40">
        <v>43</v>
      </c>
      <c r="R78" s="30" t="str">
        <f t="shared" si="8"/>
        <v>CL-4</v>
      </c>
      <c r="AA78" s="33">
        <v>37.5</v>
      </c>
      <c r="AB78" s="30" t="str">
        <f t="array" ref="AB78">INDEX($W$3:$W$34, MATCH(1, (AA78&gt;=$U$3:$U$34) * (AA78&lt;$V$3:$V$34), 0))</f>
        <v>CL-4</v>
      </c>
    </row>
    <row r="79" spans="1:28" ht="18.75" customHeight="1" x14ac:dyDescent="0.25">
      <c r="A79" s="33">
        <v>191.79729939469101</v>
      </c>
      <c r="B79" s="33">
        <v>1911.76470588235</v>
      </c>
      <c r="C79" s="33"/>
      <c r="D79" s="33">
        <v>43.5</v>
      </c>
      <c r="E79" s="33">
        <v>243.309</v>
      </c>
      <c r="F79" s="33"/>
      <c r="K79" s="33">
        <v>191.79729939469101</v>
      </c>
      <c r="L79" s="33">
        <f t="shared" si="7"/>
        <v>20.108284910868939</v>
      </c>
      <c r="N79" s="33">
        <v>43.5</v>
      </c>
      <c r="O79" s="33">
        <f t="shared" si="9"/>
        <v>239.81433333333334</v>
      </c>
      <c r="Q79" s="33">
        <v>43.5</v>
      </c>
      <c r="R79" s="30" t="str">
        <f t="shared" si="8"/>
        <v>CL-4</v>
      </c>
      <c r="AA79" s="40">
        <v>38</v>
      </c>
      <c r="AB79" s="30" t="str">
        <f t="array" ref="AB79">INDEX($W$3:$W$34, MATCH(1, (AA79&gt;=$U$3:$U$34) * (AA79&lt;$V$3:$V$34), 0))</f>
        <v>CL-4</v>
      </c>
    </row>
    <row r="80" spans="1:28" ht="18.75" customHeight="1" x14ac:dyDescent="0.25">
      <c r="A80" s="33">
        <v>194.42418128201101</v>
      </c>
      <c r="B80" s="33">
        <v>1867.64705882352</v>
      </c>
      <c r="C80" s="33"/>
      <c r="D80" s="40">
        <v>44</v>
      </c>
      <c r="E80" s="33">
        <v>249.37700000000001</v>
      </c>
      <c r="F80" s="33"/>
      <c r="K80" s="33">
        <v>194.42418128201101</v>
      </c>
      <c r="L80" s="33">
        <f t="shared" si="7"/>
        <v>19.991257915305873</v>
      </c>
      <c r="N80" s="40">
        <v>44</v>
      </c>
      <c r="O80" s="33">
        <f t="shared" si="9"/>
        <v>243.03100000000003</v>
      </c>
      <c r="Q80" s="40">
        <v>44</v>
      </c>
      <c r="R80" s="30" t="str">
        <f t="shared" si="8"/>
        <v>CL-4</v>
      </c>
      <c r="AA80" s="33">
        <v>38.5</v>
      </c>
      <c r="AB80" s="30" t="str">
        <f t="array" ref="AB80">INDEX($W$3:$W$34, MATCH(1, (AA80&gt;=$U$3:$U$34) * (AA80&lt;$V$3:$V$34), 0))</f>
        <v>CL-4</v>
      </c>
    </row>
    <row r="81" spans="1:28" ht="18.75" customHeight="1" x14ac:dyDescent="0.25">
      <c r="A81" s="33">
        <v>197.71263386621101</v>
      </c>
      <c r="B81" s="33">
        <v>1830.88235294117</v>
      </c>
      <c r="C81" s="33"/>
      <c r="D81" s="33">
        <v>44.5</v>
      </c>
      <c r="E81" s="33">
        <v>236.40700000000001</v>
      </c>
      <c r="F81" s="33"/>
      <c r="K81" s="33">
        <v>197.71263386621101</v>
      </c>
      <c r="L81" s="33">
        <f t="shared" si="7"/>
        <v>19.892141040159455</v>
      </c>
      <c r="N81" s="33">
        <v>44.5</v>
      </c>
      <c r="O81" s="33">
        <f t="shared" si="9"/>
        <v>248.50800000000001</v>
      </c>
      <c r="Q81" s="33">
        <v>44.5</v>
      </c>
      <c r="R81" s="30" t="str">
        <f t="shared" si="8"/>
        <v>CL-4</v>
      </c>
      <c r="AA81" s="40">
        <v>39</v>
      </c>
      <c r="AB81" s="30" t="str">
        <f t="array" ref="AB81">INDEX($W$3:$W$34, MATCH(1, (AA81&gt;=$U$3:$U$34) * (AA81&lt;$V$3:$V$34), 0))</f>
        <v>CL-4</v>
      </c>
    </row>
    <row r="82" spans="1:28" ht="18.75" customHeight="1" x14ac:dyDescent="0.25">
      <c r="A82" s="33">
        <v>199.70122613689199</v>
      </c>
      <c r="B82" s="33">
        <v>1867.64705882352</v>
      </c>
      <c r="C82" s="33"/>
      <c r="D82" s="40">
        <v>45</v>
      </c>
      <c r="E82" s="33">
        <v>259.74</v>
      </c>
      <c r="F82" s="33"/>
      <c r="K82" s="33">
        <v>199.70122613689199</v>
      </c>
      <c r="L82" s="33">
        <f t="shared" si="7"/>
        <v>19.991257915305873</v>
      </c>
      <c r="N82" s="40">
        <v>45</v>
      </c>
      <c r="O82" s="33">
        <f t="shared" si="9"/>
        <v>244.18466666666669</v>
      </c>
      <c r="Q82" s="40">
        <v>45</v>
      </c>
      <c r="R82" s="30" t="str">
        <f t="shared" si="8"/>
        <v>CL-4</v>
      </c>
      <c r="AA82" s="33">
        <v>39.5</v>
      </c>
      <c r="AB82" s="30" t="str">
        <f t="array" ref="AB82">INDEX($W$3:$W$34, MATCH(1, (AA82&gt;=$U$3:$U$34) * (AA82&lt;$V$3:$V$34), 0))</f>
        <v>CL-4</v>
      </c>
    </row>
    <row r="83" spans="1:28" ht="18.75" customHeight="1" x14ac:dyDescent="0.25">
      <c r="D83" s="33">
        <v>45.5</v>
      </c>
      <c r="E83" s="33">
        <v>236.40700000000001</v>
      </c>
      <c r="F83" s="33"/>
      <c r="N83" s="33">
        <v>45.5</v>
      </c>
      <c r="O83" s="33">
        <f t="shared" si="9"/>
        <v>239.62133333333335</v>
      </c>
      <c r="Q83" s="33">
        <v>45.5</v>
      </c>
      <c r="R83" s="30" t="str">
        <f t="shared" si="8"/>
        <v>CL-4</v>
      </c>
      <c r="AA83" s="40">
        <v>40</v>
      </c>
      <c r="AB83" s="30" t="str">
        <f t="array" ref="AB83">INDEX($W$3:$W$34, MATCH(1, (AA83&gt;=$U$3:$U$34) * (AA83&lt;$V$3:$V$34), 0))</f>
        <v>CL-4</v>
      </c>
    </row>
    <row r="84" spans="1:28" ht="18.75" customHeight="1" x14ac:dyDescent="0.25">
      <c r="D84" s="40">
        <v>46</v>
      </c>
      <c r="E84" s="33">
        <v>222.71700000000001</v>
      </c>
      <c r="F84" s="33"/>
      <c r="N84" s="40">
        <v>46</v>
      </c>
      <c r="O84" s="33">
        <f t="shared" si="9"/>
        <v>239.17400000000001</v>
      </c>
      <c r="Q84" s="40">
        <v>46</v>
      </c>
      <c r="R84" s="30" t="str">
        <f t="shared" si="8"/>
        <v>CL-4</v>
      </c>
      <c r="AA84" s="33">
        <v>40.5</v>
      </c>
      <c r="AB84" s="30" t="str">
        <f t="array" ref="AB84">INDEX($W$3:$W$34, MATCH(1, (AA84&gt;=$U$3:$U$34) * (AA84&lt;$V$3:$V$34), 0))</f>
        <v>CL-4</v>
      </c>
    </row>
    <row r="85" spans="1:28" ht="18.75" customHeight="1" x14ac:dyDescent="0.25">
      <c r="D85" s="33">
        <v>46.5</v>
      </c>
      <c r="E85" s="33">
        <v>258.39800000000002</v>
      </c>
      <c r="F85" s="33"/>
      <c r="N85" s="33">
        <v>46.5</v>
      </c>
      <c r="O85" s="33">
        <f t="shared" si="9"/>
        <v>249.49833333333333</v>
      </c>
      <c r="Q85" s="33">
        <v>46.5</v>
      </c>
      <c r="R85" s="30" t="str">
        <f t="shared" si="8"/>
        <v>CL-4</v>
      </c>
      <c r="AA85" s="40">
        <v>41</v>
      </c>
      <c r="AB85" s="30" t="str">
        <f t="array" ref="AB85">INDEX($W$3:$W$34, MATCH(1, (AA85&gt;=$U$3:$U$34) * (AA85&lt;$V$3:$V$34), 0))</f>
        <v>CL-4</v>
      </c>
    </row>
    <row r="86" spans="1:28" ht="18.75" customHeight="1" x14ac:dyDescent="0.25">
      <c r="D86" s="40">
        <v>47</v>
      </c>
      <c r="E86" s="33">
        <v>267.38</v>
      </c>
      <c r="F86" s="33"/>
      <c r="N86" s="40">
        <v>47</v>
      </c>
      <c r="O86" s="33">
        <f t="shared" si="9"/>
        <v>276.57633333333337</v>
      </c>
      <c r="Q86" s="40">
        <v>47</v>
      </c>
      <c r="R86" s="30" t="str">
        <f t="shared" si="8"/>
        <v>CL-4</v>
      </c>
      <c r="AA86" s="33">
        <v>41.5</v>
      </c>
      <c r="AB86" s="30" t="str">
        <f t="array" ref="AB86">INDEX($W$3:$W$34, MATCH(1, (AA86&gt;=$U$3:$U$34) * (AA86&lt;$V$3:$V$34), 0))</f>
        <v>CL-4</v>
      </c>
    </row>
    <row r="87" spans="1:28" ht="18.75" customHeight="1" x14ac:dyDescent="0.25">
      <c r="D87" s="33">
        <v>47.5</v>
      </c>
      <c r="E87" s="33">
        <v>303.95100000000002</v>
      </c>
      <c r="F87" s="33"/>
      <c r="N87" s="33">
        <v>47.5</v>
      </c>
      <c r="O87" s="33">
        <f t="shared" si="9"/>
        <v>343.34899999999999</v>
      </c>
      <c r="Q87" s="33">
        <v>47.5</v>
      </c>
      <c r="R87" s="30" t="str">
        <f t="shared" si="8"/>
        <v>CL-4</v>
      </c>
      <c r="AA87" s="40">
        <v>42</v>
      </c>
      <c r="AB87" s="30" t="str">
        <f t="array" ref="AB87">INDEX($W$3:$W$34, MATCH(1, (AA87&gt;=$U$3:$U$34) * (AA87&lt;$V$3:$V$34), 0))</f>
        <v>CL-4</v>
      </c>
    </row>
    <row r="88" spans="1:28" ht="18.75" customHeight="1" x14ac:dyDescent="0.25">
      <c r="D88" s="40">
        <v>48</v>
      </c>
      <c r="E88" s="33">
        <v>458.71600000000001</v>
      </c>
      <c r="F88" s="33"/>
      <c r="N88" s="40">
        <v>48</v>
      </c>
      <c r="O88" s="33">
        <f t="shared" si="9"/>
        <v>370.36633333333339</v>
      </c>
      <c r="Q88" s="40">
        <v>48</v>
      </c>
      <c r="R88" s="30" t="str">
        <f t="shared" si="8"/>
        <v>SM-2</v>
      </c>
      <c r="AA88" s="33">
        <v>42.5</v>
      </c>
      <c r="AB88" s="30" t="str">
        <f t="array" ref="AB88">INDEX($W$3:$W$34, MATCH(1, (AA88&gt;=$U$3:$U$34) * (AA88&lt;$V$3:$V$34), 0))</f>
        <v>CL-4</v>
      </c>
    </row>
    <row r="89" spans="1:28" ht="18.75" customHeight="1" x14ac:dyDescent="0.25">
      <c r="D89" s="33">
        <v>48.5</v>
      </c>
      <c r="E89" s="33">
        <v>348.43200000000002</v>
      </c>
      <c r="F89" s="33"/>
      <c r="N89" s="33">
        <v>48.5</v>
      </c>
      <c r="O89" s="33">
        <f t="shared" si="9"/>
        <v>362.42</v>
      </c>
      <c r="Q89" s="33">
        <v>48.5</v>
      </c>
      <c r="R89" s="30" t="str">
        <f t="shared" si="8"/>
        <v>SM-2</v>
      </c>
      <c r="AA89" s="40">
        <v>43</v>
      </c>
      <c r="AB89" s="30" t="str">
        <f t="array" ref="AB89">INDEX($W$3:$W$34, MATCH(1, (AA89&gt;=$U$3:$U$34) * (AA89&lt;$V$3:$V$34), 0))</f>
        <v>CL-4</v>
      </c>
    </row>
    <row r="90" spans="1:28" ht="18.75" customHeight="1" x14ac:dyDescent="0.25">
      <c r="D90" s="40">
        <v>49</v>
      </c>
      <c r="E90" s="33">
        <v>280.11200000000002</v>
      </c>
      <c r="F90" s="33"/>
      <c r="N90" s="40">
        <v>49</v>
      </c>
      <c r="O90" s="33">
        <f t="shared" si="9"/>
        <v>293.47766666666672</v>
      </c>
      <c r="Q90" s="40">
        <v>49</v>
      </c>
      <c r="R90" s="30" t="str">
        <f t="shared" si="8"/>
        <v>SM-2</v>
      </c>
      <c r="AA90" s="33">
        <v>43.5</v>
      </c>
      <c r="AB90" s="30" t="str">
        <f t="array" ref="AB90">INDEX($W$3:$W$34, MATCH(1, (AA90&gt;=$U$3:$U$34) * (AA90&lt;$V$3:$V$34), 0))</f>
        <v>CL-4</v>
      </c>
    </row>
    <row r="91" spans="1:28" ht="18.75" customHeight="1" x14ac:dyDescent="0.25">
      <c r="D91" s="33">
        <v>49.5</v>
      </c>
      <c r="E91" s="33">
        <v>251.88900000000001</v>
      </c>
      <c r="F91" s="33"/>
      <c r="N91" s="33">
        <v>49.5</v>
      </c>
      <c r="O91" s="33">
        <f t="shared" si="9"/>
        <v>254.85299999999998</v>
      </c>
      <c r="Q91" s="33">
        <v>49.5</v>
      </c>
      <c r="R91" s="30" t="str">
        <f t="shared" si="8"/>
        <v>SM-2</v>
      </c>
      <c r="AA91" s="40">
        <v>44</v>
      </c>
      <c r="AB91" s="30" t="str">
        <f t="array" ref="AB91">INDEX($W$3:$W$34, MATCH(1, (AA91&gt;=$U$3:$U$34) * (AA91&lt;$V$3:$V$34), 0))</f>
        <v>CL-4</v>
      </c>
    </row>
    <row r="92" spans="1:28" ht="18.75" customHeight="1" x14ac:dyDescent="0.25">
      <c r="D92" s="40">
        <v>50</v>
      </c>
      <c r="E92" s="33">
        <v>232.55799999999999</v>
      </c>
      <c r="F92" s="33"/>
      <c r="N92" s="40">
        <v>50</v>
      </c>
      <c r="O92" s="33">
        <f t="shared" si="9"/>
        <v>243.1816666666667</v>
      </c>
      <c r="Q92" s="40">
        <v>50</v>
      </c>
      <c r="R92" s="30" t="str">
        <f t="shared" si="8"/>
        <v>SM-2</v>
      </c>
      <c r="AA92" s="33">
        <v>44.5</v>
      </c>
      <c r="AB92" s="30" t="str">
        <f t="array" ref="AB92">INDEX($W$3:$W$34, MATCH(1, (AA92&gt;=$U$3:$U$34) * (AA92&lt;$V$3:$V$34), 0))</f>
        <v>CL-4</v>
      </c>
    </row>
    <row r="93" spans="1:28" ht="18.75" customHeight="1" x14ac:dyDescent="0.25">
      <c r="D93" s="33">
        <v>50.5</v>
      </c>
      <c r="E93" s="33">
        <v>245.09800000000001</v>
      </c>
      <c r="F93" s="33"/>
      <c r="N93" s="33">
        <v>50.5</v>
      </c>
      <c r="O93" s="33">
        <f t="shared" si="9"/>
        <v>245.57433333333333</v>
      </c>
      <c r="Q93" s="33">
        <v>50.5</v>
      </c>
      <c r="R93" s="30" t="str">
        <f t="shared" si="8"/>
        <v>SM-2</v>
      </c>
      <c r="AA93" s="40">
        <v>45</v>
      </c>
      <c r="AB93" s="30" t="str">
        <f t="array" ref="AB93">INDEX($W$3:$W$34, MATCH(1, (AA93&gt;=$U$3:$U$34) * (AA93&lt;$V$3:$V$34), 0))</f>
        <v>CL-4</v>
      </c>
    </row>
    <row r="94" spans="1:28" ht="18.75" customHeight="1" x14ac:dyDescent="0.25">
      <c r="D94" s="40">
        <v>51</v>
      </c>
      <c r="E94" s="33">
        <v>259.06700000000001</v>
      </c>
      <c r="F94" s="33"/>
      <c r="N94" s="40">
        <v>51</v>
      </c>
      <c r="O94" s="33">
        <f t="shared" si="9"/>
        <v>243.64066666666668</v>
      </c>
      <c r="Q94" s="40">
        <v>51</v>
      </c>
      <c r="R94" s="30" t="str">
        <f t="shared" si="8"/>
        <v>SM-2</v>
      </c>
      <c r="AA94" s="33">
        <v>45.5</v>
      </c>
      <c r="AB94" s="30" t="str">
        <f t="array" ref="AB94">INDEX($W$3:$W$34, MATCH(1, (AA94&gt;=$U$3:$U$34) * (AA94&lt;$V$3:$V$34), 0))</f>
        <v>CL-4</v>
      </c>
    </row>
    <row r="95" spans="1:28" ht="18.75" customHeight="1" x14ac:dyDescent="0.25">
      <c r="D95" s="33">
        <v>51.5</v>
      </c>
      <c r="E95" s="33">
        <v>226.75700000000001</v>
      </c>
      <c r="F95" s="33"/>
      <c r="N95" s="33">
        <v>51.5</v>
      </c>
      <c r="O95" s="33">
        <f t="shared" si="9"/>
        <v>244.24600000000001</v>
      </c>
      <c r="Q95" s="33">
        <v>51.5</v>
      </c>
      <c r="R95" s="30" t="str">
        <f t="shared" si="8"/>
        <v>SM-2</v>
      </c>
      <c r="AA95" s="40">
        <v>46</v>
      </c>
      <c r="AB95" s="30" t="str">
        <f t="array" ref="AB95">INDEX($W$3:$W$34, MATCH(1, (AA95&gt;=$U$3:$U$34) * (AA95&lt;$V$3:$V$34), 0))</f>
        <v>CL-4</v>
      </c>
    </row>
    <row r="96" spans="1:28" ht="18.75" customHeight="1" x14ac:dyDescent="0.25">
      <c r="D96" s="40">
        <v>52</v>
      </c>
      <c r="E96" s="33">
        <v>246.91399999999999</v>
      </c>
      <c r="F96" s="33"/>
      <c r="N96" s="40">
        <v>52</v>
      </c>
      <c r="O96" s="33">
        <f t="shared" si="9"/>
        <v>230.98966666666669</v>
      </c>
      <c r="Q96" s="40">
        <v>52</v>
      </c>
      <c r="R96" s="30" t="str">
        <f t="shared" si="8"/>
        <v>SM-2</v>
      </c>
      <c r="AA96" s="33">
        <v>46.5</v>
      </c>
      <c r="AB96" s="30" t="str">
        <f t="array" ref="AB96">INDEX($W$3:$W$34, MATCH(1, (AA96&gt;=$U$3:$U$34) * (AA96&lt;$V$3:$V$34), 0))</f>
        <v>CL-4</v>
      </c>
    </row>
    <row r="97" spans="4:28" ht="18.75" customHeight="1" x14ac:dyDescent="0.25">
      <c r="D97" s="33">
        <v>52.5</v>
      </c>
      <c r="E97" s="33">
        <v>219.298</v>
      </c>
      <c r="F97" s="33"/>
      <c r="N97" s="33">
        <v>52.5</v>
      </c>
      <c r="O97" s="33">
        <f t="shared" si="9"/>
        <v>235.72533333333331</v>
      </c>
      <c r="Q97" s="33">
        <v>52.5</v>
      </c>
      <c r="R97" s="30" t="str">
        <f t="shared" si="8"/>
        <v>SM-2</v>
      </c>
      <c r="AA97" s="40">
        <v>47</v>
      </c>
      <c r="AB97" s="30" t="str">
        <f t="array" ref="AB97">INDEX($W$3:$W$34, MATCH(1, (AA97&gt;=$U$3:$U$34) * (AA97&lt;$V$3:$V$34), 0))</f>
        <v>CL-4</v>
      </c>
    </row>
    <row r="98" spans="4:28" ht="18.75" customHeight="1" x14ac:dyDescent="0.25">
      <c r="D98" s="40">
        <v>53</v>
      </c>
      <c r="E98" s="33">
        <v>240.964</v>
      </c>
      <c r="F98" s="33"/>
      <c r="N98" s="40">
        <v>53</v>
      </c>
      <c r="O98" s="33">
        <f t="shared" si="9"/>
        <v>247.84933333333333</v>
      </c>
      <c r="Q98" s="40">
        <v>53</v>
      </c>
      <c r="R98" s="30" t="str">
        <f t="shared" si="8"/>
        <v>SM-2</v>
      </c>
      <c r="AA98" s="33">
        <v>47.5</v>
      </c>
      <c r="AB98" s="30" t="str">
        <f t="array" ref="AB98">INDEX($W$3:$W$34, MATCH(1, (AA98&gt;=$U$3:$U$34) * (AA98&lt;$V$3:$V$34), 0))</f>
        <v>CL-4</v>
      </c>
    </row>
    <row r="99" spans="4:28" ht="18.75" customHeight="1" x14ac:dyDescent="0.25">
      <c r="D99" s="33">
        <v>53.5</v>
      </c>
      <c r="E99" s="33">
        <v>283.286</v>
      </c>
      <c r="F99" s="33"/>
      <c r="N99" s="33">
        <v>53.5</v>
      </c>
      <c r="O99" s="33">
        <f t="shared" si="9"/>
        <v>297.29899999999998</v>
      </c>
      <c r="Q99" s="33">
        <v>53.5</v>
      </c>
      <c r="R99" s="30" t="str">
        <f t="shared" si="8"/>
        <v>SM-2</v>
      </c>
      <c r="AA99" s="40">
        <v>48</v>
      </c>
      <c r="AB99" s="30" t="str">
        <f t="array" ref="AB99">INDEX($W$3:$W$34, MATCH(1, (AA99&gt;=$U$3:$U$34) * (AA99&lt;$V$3:$V$34), 0))</f>
        <v>SM-2</v>
      </c>
    </row>
    <row r="100" spans="4:28" ht="18.75" customHeight="1" x14ac:dyDescent="0.25">
      <c r="D100" s="40">
        <v>54</v>
      </c>
      <c r="E100" s="33">
        <v>367.64699999999999</v>
      </c>
      <c r="F100" s="33"/>
      <c r="N100" s="40">
        <v>54</v>
      </c>
      <c r="O100" s="33">
        <f t="shared" si="9"/>
        <v>315.88966666666664</v>
      </c>
      <c r="Q100" s="40">
        <v>54</v>
      </c>
      <c r="R100" s="30" t="str">
        <f t="shared" si="8"/>
        <v>SM-2</v>
      </c>
      <c r="AA100" s="33">
        <v>48.5</v>
      </c>
      <c r="AB100" s="30" t="str">
        <f t="array" ref="AB100">INDEX($W$3:$W$34, MATCH(1, (AA100&gt;=$U$3:$U$34) * (AA100&lt;$V$3:$V$34), 0))</f>
        <v>SM-2</v>
      </c>
    </row>
    <row r="101" spans="4:28" ht="18.75" customHeight="1" x14ac:dyDescent="0.25">
      <c r="D101" s="33">
        <v>54.5</v>
      </c>
      <c r="E101" s="33">
        <v>296.73599999999999</v>
      </c>
      <c r="F101" s="33"/>
      <c r="N101" s="33">
        <v>54.5</v>
      </c>
      <c r="O101" s="33">
        <f t="shared" si="9"/>
        <v>313.036</v>
      </c>
      <c r="Q101" s="33">
        <v>54.5</v>
      </c>
      <c r="R101" s="30" t="str">
        <f t="shared" si="8"/>
        <v>SM-2</v>
      </c>
      <c r="AA101" s="40">
        <v>49</v>
      </c>
      <c r="AB101" s="30" t="str">
        <f t="array" ref="AB101">INDEX($W$3:$W$34, MATCH(1, (AA101&gt;=$U$3:$U$34) * (AA101&lt;$V$3:$V$34), 0))</f>
        <v>SM-2</v>
      </c>
    </row>
    <row r="102" spans="4:28" ht="18.75" customHeight="1" x14ac:dyDescent="0.25">
      <c r="D102" s="40">
        <v>55</v>
      </c>
      <c r="E102" s="33">
        <v>274.72500000000002</v>
      </c>
      <c r="F102" s="33"/>
      <c r="N102" s="40">
        <v>55</v>
      </c>
      <c r="O102" s="33">
        <f t="shared" si="9"/>
        <v>294.00666666666666</v>
      </c>
      <c r="Q102" s="40">
        <v>55</v>
      </c>
      <c r="R102" s="30" t="str">
        <f t="shared" si="8"/>
        <v>SM-2</v>
      </c>
      <c r="AA102" s="33">
        <v>49.5</v>
      </c>
      <c r="AB102" s="30" t="str">
        <f t="array" ref="AB102">INDEX($W$3:$W$34, MATCH(1, (AA102&gt;=$U$3:$U$34) * (AA102&lt;$V$3:$V$34), 0))</f>
        <v>SM-2</v>
      </c>
    </row>
    <row r="103" spans="4:28" ht="18.75" customHeight="1" x14ac:dyDescent="0.25">
      <c r="D103" s="33">
        <v>55.5</v>
      </c>
      <c r="E103" s="33">
        <v>310.55900000000003</v>
      </c>
      <c r="F103" s="33"/>
      <c r="N103" s="33">
        <v>55.5</v>
      </c>
      <c r="O103" s="33">
        <f t="shared" si="9"/>
        <v>296.10466666666667</v>
      </c>
      <c r="Q103" s="33">
        <v>55.5</v>
      </c>
      <c r="R103" s="30" t="str">
        <f t="shared" si="8"/>
        <v>SM-2</v>
      </c>
      <c r="AA103" s="40">
        <v>50</v>
      </c>
      <c r="AB103" s="30" t="str">
        <f t="array" ref="AB103">INDEX($W$3:$W$34, MATCH(1, (AA103&gt;=$U$3:$U$34) * (AA103&lt;$V$3:$V$34), 0))</f>
        <v>SM-2</v>
      </c>
    </row>
    <row r="104" spans="4:28" ht="18.75" customHeight="1" x14ac:dyDescent="0.25">
      <c r="D104" s="40">
        <v>56</v>
      </c>
      <c r="E104" s="33">
        <v>303.02999999999997</v>
      </c>
      <c r="F104" s="33"/>
      <c r="N104" s="40">
        <v>56</v>
      </c>
      <c r="O104" s="33">
        <f t="shared" si="9"/>
        <v>308.37200000000001</v>
      </c>
      <c r="Q104" s="40">
        <v>56</v>
      </c>
      <c r="R104" s="30" t="str">
        <f t="shared" si="8"/>
        <v>SM-2</v>
      </c>
      <c r="AA104" s="33">
        <v>50.5</v>
      </c>
      <c r="AB104" s="30" t="str">
        <f t="array" ref="AB104">INDEX($W$3:$W$34, MATCH(1, (AA104&gt;=$U$3:$U$34) * (AA104&lt;$V$3:$V$34), 0))</f>
        <v>SM-2</v>
      </c>
    </row>
    <row r="105" spans="4:28" ht="18.75" customHeight="1" x14ac:dyDescent="0.25">
      <c r="D105" s="33">
        <v>56.5</v>
      </c>
      <c r="E105" s="33">
        <v>311.52699999999999</v>
      </c>
      <c r="F105" s="33"/>
      <c r="N105" s="33">
        <v>56.5</v>
      </c>
      <c r="O105" s="33">
        <f t="shared" si="9"/>
        <v>307.733</v>
      </c>
      <c r="Q105" s="33">
        <v>56.5</v>
      </c>
      <c r="R105" s="30" t="str">
        <f t="shared" si="8"/>
        <v>SM-2</v>
      </c>
      <c r="AA105" s="40">
        <v>51</v>
      </c>
      <c r="AB105" s="30" t="str">
        <f t="array" ref="AB105">INDEX($W$3:$W$34, MATCH(1, (AA105&gt;=$U$3:$U$34) * (AA105&lt;$V$3:$V$34), 0))</f>
        <v>SM-2</v>
      </c>
    </row>
    <row r="106" spans="4:28" ht="18.75" customHeight="1" x14ac:dyDescent="0.25">
      <c r="D106" s="40">
        <v>57</v>
      </c>
      <c r="E106" s="33">
        <v>308.642</v>
      </c>
      <c r="F106" s="33"/>
      <c r="N106" s="40">
        <v>57</v>
      </c>
      <c r="O106" s="33">
        <f t="shared" si="9"/>
        <v>310.88966666666664</v>
      </c>
      <c r="Q106" s="40">
        <v>57</v>
      </c>
      <c r="R106" s="30" t="str">
        <f t="shared" si="8"/>
        <v>SM-2</v>
      </c>
      <c r="AA106" s="33">
        <v>51.5</v>
      </c>
      <c r="AB106" s="30" t="str">
        <f t="array" ref="AB106">INDEX($W$3:$W$34, MATCH(1, (AA106&gt;=$U$3:$U$34) * (AA106&lt;$V$3:$V$34), 0))</f>
        <v>SM-2</v>
      </c>
    </row>
    <row r="107" spans="4:28" ht="18.75" customHeight="1" x14ac:dyDescent="0.25">
      <c r="D107" s="33">
        <v>57.5</v>
      </c>
      <c r="E107" s="33">
        <v>312.5</v>
      </c>
      <c r="F107" s="33"/>
      <c r="N107" s="33">
        <v>57.5</v>
      </c>
      <c r="O107" s="33">
        <f t="shared" si="9"/>
        <v>303.38633333333337</v>
      </c>
      <c r="Q107" s="33">
        <v>57.5</v>
      </c>
      <c r="R107" s="30" t="str">
        <f t="shared" si="8"/>
        <v>SM-2</v>
      </c>
      <c r="AA107" s="40">
        <v>52</v>
      </c>
      <c r="AB107" s="30" t="str">
        <f t="array" ref="AB107">INDEX($W$3:$W$34, MATCH(1, (AA107&gt;=$U$3:$U$34) * (AA107&lt;$V$3:$V$34), 0))</f>
        <v>SM-2</v>
      </c>
    </row>
    <row r="108" spans="4:28" ht="18.75" customHeight="1" x14ac:dyDescent="0.25">
      <c r="D108" s="40">
        <v>58</v>
      </c>
      <c r="E108" s="33">
        <v>289.017</v>
      </c>
      <c r="F108" s="33"/>
      <c r="N108" s="40">
        <v>58</v>
      </c>
      <c r="O108" s="33">
        <f t="shared" si="9"/>
        <v>288.923</v>
      </c>
      <c r="Q108" s="40">
        <v>58</v>
      </c>
      <c r="R108" s="30" t="str">
        <f t="shared" si="8"/>
        <v>SM-2</v>
      </c>
      <c r="AA108" s="33">
        <v>52.5</v>
      </c>
      <c r="AB108" s="30" t="str">
        <f t="array" ref="AB108">INDEX($W$3:$W$34, MATCH(1, (AA108&gt;=$U$3:$U$34) * (AA108&lt;$V$3:$V$34), 0))</f>
        <v>SM-2</v>
      </c>
    </row>
    <row r="109" spans="4:28" ht="18.75" customHeight="1" x14ac:dyDescent="0.25">
      <c r="D109" s="33">
        <v>58.5</v>
      </c>
      <c r="E109" s="33">
        <v>265.25200000000001</v>
      </c>
      <c r="F109" s="33"/>
      <c r="N109" s="33">
        <v>58.5</v>
      </c>
      <c r="O109" s="33">
        <f t="shared" si="9"/>
        <v>282.22233333333332</v>
      </c>
      <c r="Q109" s="33">
        <v>58.5</v>
      </c>
      <c r="R109" s="30" t="str">
        <f t="shared" si="8"/>
        <v>SM-2</v>
      </c>
      <c r="AA109" s="40">
        <v>53</v>
      </c>
      <c r="AB109" s="30" t="str">
        <f t="array" ref="AB109">INDEX($W$3:$W$34, MATCH(1, (AA109&gt;=$U$3:$U$34) * (AA109&lt;$V$3:$V$34), 0))</f>
        <v>SM-2</v>
      </c>
    </row>
    <row r="110" spans="4:28" ht="18.75" customHeight="1" x14ac:dyDescent="0.25">
      <c r="D110" s="40">
        <v>59</v>
      </c>
      <c r="E110" s="33">
        <v>292.39800000000002</v>
      </c>
      <c r="F110" s="33"/>
      <c r="N110" s="40">
        <v>59</v>
      </c>
      <c r="O110" s="33">
        <f t="shared" si="9"/>
        <v>263.40266666666668</v>
      </c>
      <c r="Q110" s="40">
        <v>59</v>
      </c>
      <c r="R110" s="30" t="str">
        <f t="shared" si="8"/>
        <v>SM-2</v>
      </c>
      <c r="AA110" s="33">
        <v>53.5</v>
      </c>
      <c r="AB110" s="30" t="str">
        <f t="array" ref="AB110">INDEX($W$3:$W$34, MATCH(1, (AA110&gt;=$U$3:$U$34) * (AA110&lt;$V$3:$V$34), 0))</f>
        <v>SM-2</v>
      </c>
    </row>
    <row r="111" spans="4:28" ht="18.75" customHeight="1" x14ac:dyDescent="0.25">
      <c r="D111" s="33">
        <v>59.5</v>
      </c>
      <c r="E111" s="33">
        <v>232.55799999999999</v>
      </c>
      <c r="F111" s="33"/>
      <c r="N111" s="33">
        <v>59.5</v>
      </c>
      <c r="O111" s="33">
        <f t="shared" si="9"/>
        <v>257.69833333333332</v>
      </c>
      <c r="Q111" s="33">
        <v>59.5</v>
      </c>
      <c r="R111" s="30" t="str">
        <f t="shared" si="8"/>
        <v>SM-2</v>
      </c>
      <c r="AA111" s="40">
        <v>54</v>
      </c>
      <c r="AB111" s="30" t="str">
        <f t="array" ref="AB111">INDEX($W$3:$W$34, MATCH(1, (AA111&gt;=$U$3:$U$34) * (AA111&lt;$V$3:$V$34), 0))</f>
        <v>SM-2</v>
      </c>
    </row>
    <row r="112" spans="4:28" ht="18.75" customHeight="1" x14ac:dyDescent="0.25">
      <c r="D112" s="40">
        <v>60</v>
      </c>
      <c r="E112" s="33">
        <v>248.13900000000001</v>
      </c>
      <c r="F112" s="33"/>
      <c r="N112" s="40">
        <v>60</v>
      </c>
      <c r="O112" s="33">
        <f t="shared" si="9"/>
        <v>260.33233333333334</v>
      </c>
      <c r="Q112" s="40">
        <v>60</v>
      </c>
      <c r="R112" s="30" t="str">
        <f t="shared" si="8"/>
        <v>SM-2</v>
      </c>
      <c r="AA112" s="33">
        <v>54.5</v>
      </c>
      <c r="AB112" s="30" t="str">
        <f t="array" ref="AB112">INDEX($W$3:$W$34, MATCH(1, (AA112&gt;=$U$3:$U$34) * (AA112&lt;$V$3:$V$34), 0))</f>
        <v>SM-2</v>
      </c>
    </row>
    <row r="113" spans="4:28" ht="18.75" customHeight="1" x14ac:dyDescent="0.25">
      <c r="D113" s="40">
        <v>61</v>
      </c>
      <c r="E113" s="33">
        <v>300.3</v>
      </c>
      <c r="F113" s="33"/>
      <c r="N113" s="40">
        <v>61</v>
      </c>
      <c r="O113" s="33">
        <f t="shared" si="9"/>
        <v>268.06433333333337</v>
      </c>
      <c r="Q113" s="40">
        <v>61</v>
      </c>
      <c r="R113" s="30" t="str">
        <f t="shared" si="8"/>
        <v>CL-5</v>
      </c>
      <c r="AA113" s="40">
        <v>55</v>
      </c>
      <c r="AB113" s="30" t="str">
        <f t="array" ref="AB113">INDEX($W$3:$W$34, MATCH(1, (AA113&gt;=$U$3:$U$34) * (AA113&lt;$V$3:$V$34), 0))</f>
        <v>SM-2</v>
      </c>
    </row>
    <row r="114" spans="4:28" ht="18.75" customHeight="1" x14ac:dyDescent="0.25">
      <c r="D114" s="40">
        <v>62</v>
      </c>
      <c r="E114" s="33">
        <v>255.75399999999999</v>
      </c>
      <c r="F114" s="33"/>
      <c r="N114" s="40">
        <v>62</v>
      </c>
      <c r="O114" s="33">
        <f t="shared" si="9"/>
        <v>272.15699999999998</v>
      </c>
      <c r="Q114" s="40">
        <v>62</v>
      </c>
      <c r="R114" s="30" t="str">
        <f t="shared" si="8"/>
        <v>CL-5</v>
      </c>
      <c r="AA114" s="33">
        <v>55.5</v>
      </c>
      <c r="AB114" s="30" t="str">
        <f t="array" ref="AB114">INDEX($W$3:$W$34, MATCH(1, (AA114&gt;=$U$3:$U$34) * (AA114&lt;$V$3:$V$34), 0))</f>
        <v>SM-2</v>
      </c>
    </row>
    <row r="115" spans="4:28" ht="18.75" customHeight="1" x14ac:dyDescent="0.25">
      <c r="D115" s="40">
        <v>63</v>
      </c>
      <c r="E115" s="33">
        <v>260.41699999999997</v>
      </c>
      <c r="F115" s="33"/>
      <c r="N115" s="40">
        <v>63</v>
      </c>
      <c r="O115" s="33">
        <f t="shared" si="9"/>
        <v>278.89466666666664</v>
      </c>
      <c r="Q115" s="40">
        <v>63</v>
      </c>
      <c r="R115" s="30" t="str">
        <f t="shared" si="8"/>
        <v>CL-5</v>
      </c>
      <c r="AA115" s="40">
        <v>56</v>
      </c>
      <c r="AB115" s="30" t="str">
        <f t="array" ref="AB115">INDEX($W$3:$W$34, MATCH(1, (AA115&gt;=$U$3:$U$34) * (AA115&lt;$V$3:$V$34), 0))</f>
        <v>SM-2</v>
      </c>
    </row>
    <row r="116" spans="4:28" ht="18.75" customHeight="1" x14ac:dyDescent="0.25">
      <c r="D116" s="40">
        <v>64</v>
      </c>
      <c r="E116" s="33">
        <v>320.51299999999998</v>
      </c>
      <c r="F116" s="33"/>
      <c r="N116" s="40">
        <v>64</v>
      </c>
      <c r="O116" s="33">
        <f t="shared" si="9"/>
        <v>313.54733333333331</v>
      </c>
      <c r="Q116" s="40">
        <v>64</v>
      </c>
      <c r="R116" s="30" t="str">
        <f t="shared" si="8"/>
        <v>CL-5</v>
      </c>
      <c r="AA116" s="33">
        <v>56.5</v>
      </c>
      <c r="AB116" s="30" t="str">
        <f t="array" ref="AB116">INDEX($W$3:$W$34, MATCH(1, (AA116&gt;=$U$3:$U$34) * (AA116&lt;$V$3:$V$34), 0))</f>
        <v>SM-2</v>
      </c>
    </row>
    <row r="117" spans="4:28" ht="18.75" customHeight="1" x14ac:dyDescent="0.25">
      <c r="D117" s="40">
        <v>65</v>
      </c>
      <c r="E117" s="33">
        <v>359.71199999999999</v>
      </c>
      <c r="F117" s="33"/>
      <c r="N117" s="40">
        <v>65</v>
      </c>
      <c r="O117" s="33">
        <f t="shared" si="9"/>
        <v>350.65733333333333</v>
      </c>
      <c r="Q117" s="40">
        <v>65</v>
      </c>
      <c r="R117" s="30" t="str">
        <f t="shared" si="8"/>
        <v>CL-5</v>
      </c>
      <c r="AA117" s="40">
        <v>57</v>
      </c>
      <c r="AB117" s="30" t="str">
        <f t="array" ref="AB117">INDEX($W$3:$W$34, MATCH(1, (AA117&gt;=$U$3:$U$34) * (AA117&lt;$V$3:$V$34), 0))</f>
        <v>SM-2</v>
      </c>
    </row>
    <row r="118" spans="4:28" ht="18.75" customHeight="1" x14ac:dyDescent="0.25">
      <c r="D118" s="40">
        <v>66</v>
      </c>
      <c r="E118" s="33">
        <v>371.74700000000001</v>
      </c>
      <c r="F118" s="33"/>
      <c r="N118" s="40">
        <v>66</v>
      </c>
      <c r="O118" s="33">
        <f t="shared" si="9"/>
        <v>348.64133333333331</v>
      </c>
      <c r="Q118" s="40">
        <v>66</v>
      </c>
      <c r="R118" s="30" t="str">
        <f t="shared" si="8"/>
        <v>CL-5</v>
      </c>
      <c r="AA118" s="33">
        <v>57.5</v>
      </c>
      <c r="AB118" s="30" t="str">
        <f t="array" ref="AB118">INDEX($W$3:$W$34, MATCH(1, (AA118&gt;=$U$3:$U$34) * (AA118&lt;$V$3:$V$34), 0))</f>
        <v>SM-2</v>
      </c>
    </row>
    <row r="119" spans="4:28" ht="18.75" customHeight="1" x14ac:dyDescent="0.25">
      <c r="D119" s="40">
        <v>67</v>
      </c>
      <c r="E119" s="33">
        <v>314.46499999999997</v>
      </c>
      <c r="F119" s="33"/>
      <c r="N119" s="40">
        <v>67</v>
      </c>
      <c r="O119" s="33">
        <f t="shared" si="9"/>
        <v>348.21166666666664</v>
      </c>
      <c r="Q119" s="40">
        <v>67</v>
      </c>
      <c r="R119" s="30" t="str">
        <f t="shared" si="8"/>
        <v>CL-5</v>
      </c>
      <c r="AA119" s="40">
        <v>58</v>
      </c>
      <c r="AB119" s="30" t="str">
        <f t="array" ref="AB119">INDEX($W$3:$W$34, MATCH(1, (AA119&gt;=$U$3:$U$34) * (AA119&lt;$V$3:$V$34), 0))</f>
        <v>SM-2</v>
      </c>
    </row>
    <row r="120" spans="4:28" ht="18.75" customHeight="1" x14ac:dyDescent="0.25">
      <c r="D120" s="40">
        <v>68</v>
      </c>
      <c r="E120" s="33">
        <v>358.423</v>
      </c>
      <c r="F120" s="33"/>
      <c r="N120" s="40">
        <v>68</v>
      </c>
      <c r="O120" s="33">
        <f t="shared" si="9"/>
        <v>324.69766666666663</v>
      </c>
      <c r="Q120" s="40">
        <v>68</v>
      </c>
      <c r="R120" s="30" t="str">
        <f t="shared" si="8"/>
        <v>CL-5</v>
      </c>
      <c r="AA120" s="33">
        <v>58.5</v>
      </c>
      <c r="AB120" s="30" t="str">
        <f t="array" ref="AB120">INDEX($W$3:$W$34, MATCH(1, (AA120&gt;=$U$3:$U$34) * (AA120&lt;$V$3:$V$34), 0))</f>
        <v>SM-2</v>
      </c>
    </row>
    <row r="121" spans="4:28" ht="18.75" customHeight="1" x14ac:dyDescent="0.25">
      <c r="D121" s="40">
        <v>69</v>
      </c>
      <c r="E121" s="33">
        <v>301.20499999999998</v>
      </c>
      <c r="F121" s="33"/>
      <c r="N121" s="40">
        <v>69</v>
      </c>
      <c r="O121" s="33">
        <f t="shared" si="9"/>
        <v>329.16566666666665</v>
      </c>
      <c r="Q121" s="40">
        <v>69</v>
      </c>
      <c r="R121" s="30" t="str">
        <f t="shared" si="8"/>
        <v>CL-5</v>
      </c>
      <c r="AA121" s="40">
        <v>59</v>
      </c>
      <c r="AB121" s="30" t="str">
        <f t="array" ref="AB121">INDEX($W$3:$W$34, MATCH(1, (AA121&gt;=$U$3:$U$34) * (AA121&lt;$V$3:$V$34), 0))</f>
        <v>SM-2</v>
      </c>
    </row>
    <row r="122" spans="4:28" ht="18.75" customHeight="1" x14ac:dyDescent="0.25">
      <c r="D122" s="40">
        <v>70</v>
      </c>
      <c r="E122" s="33">
        <v>327.86900000000003</v>
      </c>
      <c r="F122" s="33"/>
      <c r="N122" s="40">
        <v>70</v>
      </c>
      <c r="O122" s="33">
        <f t="shared" si="9"/>
        <v>309.79133333333334</v>
      </c>
      <c r="Q122" s="40">
        <v>70</v>
      </c>
      <c r="R122" s="30" t="str">
        <f t="shared" si="8"/>
        <v>CL-5</v>
      </c>
      <c r="AA122" s="33">
        <v>59.5</v>
      </c>
      <c r="AB122" s="30" t="str">
        <f t="array" ref="AB122">INDEX($W$3:$W$34, MATCH(1, (AA122&gt;=$U$3:$U$34) * (AA122&lt;$V$3:$V$34), 0))</f>
        <v>SM-2</v>
      </c>
    </row>
    <row r="123" spans="4:28" ht="18.75" customHeight="1" x14ac:dyDescent="0.25">
      <c r="D123" s="40">
        <v>71</v>
      </c>
      <c r="E123" s="33">
        <v>300.3</v>
      </c>
      <c r="F123" s="33"/>
      <c r="N123" s="40">
        <v>71</v>
      </c>
      <c r="O123" s="33">
        <f t="shared" si="9"/>
        <v>299.47966666666667</v>
      </c>
      <c r="Q123" s="40">
        <v>71</v>
      </c>
      <c r="R123" s="30" t="str">
        <f t="shared" si="8"/>
        <v>CL-6</v>
      </c>
      <c r="AA123" s="40">
        <v>60</v>
      </c>
      <c r="AB123" s="30" t="str">
        <f t="array" ref="AB123">INDEX($W$3:$W$34, MATCH(1, (AA123&gt;=$U$3:$U$34) * (AA123&lt;$V$3:$V$34), 0))</f>
        <v>SM-2</v>
      </c>
    </row>
    <row r="124" spans="4:28" ht="18.75" customHeight="1" x14ac:dyDescent="0.25">
      <c r="D124" s="40">
        <v>72</v>
      </c>
      <c r="E124" s="33">
        <v>270.27</v>
      </c>
      <c r="F124" s="33"/>
      <c r="N124" s="40">
        <v>72</v>
      </c>
      <c r="O124" s="33">
        <f t="shared" si="9"/>
        <v>280.27999999999997</v>
      </c>
      <c r="Q124" s="40">
        <v>72</v>
      </c>
      <c r="R124" s="30" t="str">
        <f t="shared" si="8"/>
        <v>CL-6</v>
      </c>
      <c r="AA124" s="40">
        <v>61</v>
      </c>
      <c r="AB124" s="30" t="str">
        <f t="array" ref="AB124">INDEX($W$3:$W$34, MATCH(1, (AA124&gt;=$U$3:$U$34) * (AA124&lt;$V$3:$V$34), 0))</f>
        <v>CL-5</v>
      </c>
    </row>
    <row r="125" spans="4:28" ht="18.75" customHeight="1" x14ac:dyDescent="0.25">
      <c r="D125" s="40">
        <v>73</v>
      </c>
      <c r="E125" s="33">
        <v>270.27</v>
      </c>
      <c r="F125" s="33"/>
      <c r="N125" s="40">
        <v>73</v>
      </c>
      <c r="O125" s="33">
        <f t="shared" si="9"/>
        <v>279.68233333333336</v>
      </c>
      <c r="Q125" s="40">
        <v>73</v>
      </c>
      <c r="R125" s="30" t="str">
        <f t="shared" si="8"/>
        <v>CL-6</v>
      </c>
      <c r="AA125" s="40">
        <v>62</v>
      </c>
      <c r="AB125" s="30" t="str">
        <f t="array" ref="AB125">INDEX($W$3:$W$34, MATCH(1, (AA125&gt;=$U$3:$U$34) * (AA125&lt;$V$3:$V$34), 0))</f>
        <v>CL-5</v>
      </c>
    </row>
    <row r="126" spans="4:28" ht="18.75" customHeight="1" x14ac:dyDescent="0.25">
      <c r="D126" s="40">
        <v>74</v>
      </c>
      <c r="E126" s="33">
        <v>298.50700000000001</v>
      </c>
      <c r="F126" s="33"/>
      <c r="N126" s="40">
        <v>74</v>
      </c>
      <c r="O126" s="33">
        <f t="shared" si="9"/>
        <v>298.17</v>
      </c>
      <c r="Q126" s="40">
        <v>74</v>
      </c>
      <c r="R126" s="30" t="str">
        <f t="shared" si="8"/>
        <v>CL-6</v>
      </c>
      <c r="AA126" s="40">
        <v>63</v>
      </c>
      <c r="AB126" s="30" t="str">
        <f t="array" ref="AB126">INDEX($W$3:$W$34, MATCH(1, (AA126&gt;=$U$3:$U$34) * (AA126&lt;$V$3:$V$34), 0))</f>
        <v>CL-5</v>
      </c>
    </row>
    <row r="127" spans="4:28" ht="18.75" customHeight="1" x14ac:dyDescent="0.25">
      <c r="D127" s="40">
        <v>75</v>
      </c>
      <c r="E127" s="33">
        <v>325.733</v>
      </c>
      <c r="F127" s="33"/>
      <c r="N127" s="40">
        <v>75</v>
      </c>
      <c r="O127" s="33">
        <f t="shared" si="9"/>
        <v>300.161</v>
      </c>
      <c r="Q127" s="40">
        <v>75</v>
      </c>
      <c r="R127" s="30" t="str">
        <f t="shared" si="8"/>
        <v>CL-6</v>
      </c>
      <c r="AA127" s="40">
        <v>64</v>
      </c>
      <c r="AB127" s="30" t="str">
        <f t="array" ref="AB127">INDEX($W$3:$W$34, MATCH(1, (AA127&gt;=$U$3:$U$34) * (AA127&lt;$V$3:$V$34), 0))</f>
        <v>CL-5</v>
      </c>
    </row>
    <row r="128" spans="4:28" ht="18.75" customHeight="1" x14ac:dyDescent="0.25">
      <c r="D128" s="40">
        <v>76</v>
      </c>
      <c r="E128" s="33">
        <v>276.24299999999999</v>
      </c>
      <c r="F128" s="33"/>
      <c r="N128" s="40">
        <v>76</v>
      </c>
      <c r="O128" s="33">
        <f t="shared" si="9"/>
        <v>308.53366666666665</v>
      </c>
      <c r="Q128" s="40">
        <v>76</v>
      </c>
      <c r="R128" s="30" t="str">
        <f t="shared" si="8"/>
        <v>CL-6</v>
      </c>
      <c r="AA128" s="40">
        <v>65</v>
      </c>
      <c r="AB128" s="30" t="str">
        <f t="array" ref="AB128">INDEX($W$3:$W$34, MATCH(1, (AA128&gt;=$U$3:$U$34) * (AA128&lt;$V$3:$V$34), 0))</f>
        <v>CL-5</v>
      </c>
    </row>
    <row r="129" spans="4:28" ht="18.75" customHeight="1" x14ac:dyDescent="0.25">
      <c r="D129" s="40">
        <v>77</v>
      </c>
      <c r="E129" s="33">
        <v>323.625</v>
      </c>
      <c r="F129" s="33"/>
      <c r="N129" s="40">
        <v>77</v>
      </c>
      <c r="O129" s="33">
        <f t="shared" si="9"/>
        <v>314.11133333333333</v>
      </c>
      <c r="Q129" s="40">
        <v>77</v>
      </c>
      <c r="R129" s="30" t="str">
        <f t="shared" si="8"/>
        <v>CL-6</v>
      </c>
      <c r="AA129" s="40">
        <v>66</v>
      </c>
      <c r="AB129" s="30" t="str">
        <f t="array" ref="AB129">INDEX($W$3:$W$34, MATCH(1, (AA129&gt;=$U$3:$U$34) * (AA129&lt;$V$3:$V$34), 0))</f>
        <v>CL-5</v>
      </c>
    </row>
    <row r="130" spans="4:28" ht="18.75" customHeight="1" x14ac:dyDescent="0.25">
      <c r="D130" s="40">
        <v>78</v>
      </c>
      <c r="E130" s="33">
        <v>342.46600000000001</v>
      </c>
      <c r="F130" s="33"/>
      <c r="N130" s="40">
        <v>78</v>
      </c>
      <c r="O130" s="33">
        <f t="shared" si="9"/>
        <v>392.09833333333336</v>
      </c>
      <c r="Q130" s="40">
        <v>78</v>
      </c>
      <c r="R130" s="30" t="str">
        <f t="shared" si="8"/>
        <v>CL-6</v>
      </c>
      <c r="AA130" s="40">
        <v>67</v>
      </c>
      <c r="AB130" s="30" t="str">
        <f t="array" ref="AB130">INDEX($W$3:$W$34, MATCH(1, (AA130&gt;=$U$3:$U$34) * (AA130&lt;$V$3:$V$34), 0))</f>
        <v>CL-5</v>
      </c>
    </row>
    <row r="131" spans="4:28" ht="18.75" customHeight="1" x14ac:dyDescent="0.25">
      <c r="D131" s="40">
        <v>79</v>
      </c>
      <c r="E131" s="33">
        <v>510.20400000000001</v>
      </c>
      <c r="F131" s="33"/>
      <c r="N131" s="40">
        <v>79</v>
      </c>
      <c r="O131" s="33">
        <f t="shared" si="9"/>
        <v>463.43466666666671</v>
      </c>
      <c r="Q131" s="40">
        <v>79</v>
      </c>
      <c r="R131" s="30" t="str">
        <f t="shared" ref="R131:R194" si="10">_xlfn.XLOOKUP(N131,$AA$3:$AA$307,$AB$3:$AB$307)</f>
        <v>CL-6</v>
      </c>
      <c r="AA131" s="40">
        <v>68</v>
      </c>
      <c r="AB131" s="30" t="str">
        <f t="array" ref="AB131">INDEX($W$3:$W$34, MATCH(1, (AA131&gt;=$U$3:$U$34) * (AA131&lt;$V$3:$V$34), 0))</f>
        <v>CL-5</v>
      </c>
    </row>
    <row r="132" spans="4:28" ht="18.75" customHeight="1" x14ac:dyDescent="0.25">
      <c r="D132" s="40">
        <v>80</v>
      </c>
      <c r="E132" s="33">
        <v>537.63400000000001</v>
      </c>
      <c r="F132" s="33"/>
      <c r="N132" s="40">
        <v>80</v>
      </c>
      <c r="O132" s="33">
        <f t="shared" ref="O132:O195" si="11">AVERAGE(E131:E133)</f>
        <v>492.34099999999995</v>
      </c>
      <c r="Q132" s="40">
        <v>80</v>
      </c>
      <c r="R132" s="30" t="str">
        <f t="shared" si="10"/>
        <v>CL-6</v>
      </c>
      <c r="AA132" s="40">
        <v>69</v>
      </c>
      <c r="AB132" s="30" t="str">
        <f t="array" ref="AB132">INDEX($W$3:$W$34, MATCH(1, (AA132&gt;=$U$3:$U$34) * (AA132&lt;$V$3:$V$34), 0))</f>
        <v>CL-5</v>
      </c>
    </row>
    <row r="133" spans="4:28" ht="18.75" customHeight="1" x14ac:dyDescent="0.25">
      <c r="D133" s="40">
        <v>81</v>
      </c>
      <c r="E133" s="33">
        <v>429.185</v>
      </c>
      <c r="F133" s="33"/>
      <c r="N133" s="40">
        <v>81</v>
      </c>
      <c r="O133" s="33">
        <f t="shared" si="11"/>
        <v>438.01366666666667</v>
      </c>
      <c r="Q133" s="40">
        <v>81</v>
      </c>
      <c r="R133" s="30" t="str">
        <f t="shared" si="10"/>
        <v>CL-7</v>
      </c>
      <c r="AA133" s="40">
        <v>70</v>
      </c>
      <c r="AB133" s="30" t="str">
        <f t="array" ref="AB133">INDEX($W$3:$W$34, MATCH(1, (AA133&gt;=$U$3:$U$34) * (AA133&lt;$V$3:$V$34), 0))</f>
        <v>CL-5</v>
      </c>
    </row>
    <row r="134" spans="4:28" ht="18.75" customHeight="1" x14ac:dyDescent="0.25">
      <c r="D134" s="40">
        <v>82</v>
      </c>
      <c r="E134" s="33">
        <v>347.22199999999998</v>
      </c>
      <c r="F134" s="33"/>
      <c r="N134" s="40">
        <v>82</v>
      </c>
      <c r="O134" s="33">
        <f t="shared" si="11"/>
        <v>358.60266666666666</v>
      </c>
      <c r="Q134" s="40">
        <v>82</v>
      </c>
      <c r="R134" s="30" t="str">
        <f t="shared" si="10"/>
        <v>CL-7</v>
      </c>
      <c r="AA134" s="40">
        <v>71</v>
      </c>
      <c r="AB134" s="30" t="str">
        <f t="array" ref="AB134">INDEX($W$3:$W$34, MATCH(1, (AA134&gt;=$U$3:$U$34) * (AA134&lt;$V$3:$V$34), 0))</f>
        <v>CL-6</v>
      </c>
    </row>
    <row r="135" spans="4:28" ht="18.75" customHeight="1" x14ac:dyDescent="0.25">
      <c r="D135" s="40">
        <v>83</v>
      </c>
      <c r="E135" s="33">
        <v>299.40100000000001</v>
      </c>
      <c r="F135" s="33"/>
      <c r="N135" s="40">
        <v>83</v>
      </c>
      <c r="O135" s="33">
        <f t="shared" si="11"/>
        <v>334.58866666666671</v>
      </c>
      <c r="Q135" s="40">
        <v>83</v>
      </c>
      <c r="R135" s="30" t="str">
        <f t="shared" si="10"/>
        <v>CL-7</v>
      </c>
      <c r="AA135" s="40">
        <v>72</v>
      </c>
      <c r="AB135" s="30" t="str">
        <f t="array" ref="AB135">INDEX($W$3:$W$34, MATCH(1, (AA135&gt;=$U$3:$U$34) * (AA135&lt;$V$3:$V$34), 0))</f>
        <v>CL-6</v>
      </c>
    </row>
    <row r="136" spans="4:28" ht="18.75" customHeight="1" x14ac:dyDescent="0.25">
      <c r="D136" s="40">
        <v>84</v>
      </c>
      <c r="E136" s="33">
        <v>357.14299999999997</v>
      </c>
      <c r="F136" s="33"/>
      <c r="N136" s="40">
        <v>84</v>
      </c>
      <c r="O136" s="33">
        <f t="shared" si="11"/>
        <v>324.33333333333331</v>
      </c>
      <c r="Q136" s="40">
        <v>84</v>
      </c>
      <c r="R136" s="30" t="str">
        <f t="shared" si="10"/>
        <v>CL-7</v>
      </c>
      <c r="AA136" s="40">
        <v>73</v>
      </c>
      <c r="AB136" s="30" t="str">
        <f t="array" ref="AB136">INDEX($W$3:$W$34, MATCH(1, (AA136&gt;=$U$3:$U$34) * (AA136&lt;$V$3:$V$34), 0))</f>
        <v>CL-6</v>
      </c>
    </row>
    <row r="137" spans="4:28" ht="18.75" customHeight="1" x14ac:dyDescent="0.25">
      <c r="D137" s="40">
        <v>85</v>
      </c>
      <c r="E137" s="33">
        <v>316.45600000000002</v>
      </c>
      <c r="F137" s="33"/>
      <c r="N137" s="40">
        <v>85</v>
      </c>
      <c r="O137" s="33">
        <f t="shared" si="11"/>
        <v>313.89866666666666</v>
      </c>
      <c r="Q137" s="40">
        <v>85</v>
      </c>
      <c r="R137" s="30" t="str">
        <f t="shared" si="10"/>
        <v>CL-7</v>
      </c>
      <c r="AA137" s="40">
        <v>74</v>
      </c>
      <c r="AB137" s="30" t="str">
        <f t="array" ref="AB137">INDEX($W$3:$W$34, MATCH(1, (AA137&gt;=$U$3:$U$34) * (AA137&lt;$V$3:$V$34), 0))</f>
        <v>CL-6</v>
      </c>
    </row>
    <row r="138" spans="4:28" ht="18.75" customHeight="1" x14ac:dyDescent="0.25">
      <c r="D138" s="40">
        <v>86</v>
      </c>
      <c r="E138" s="33">
        <v>268.09699999999998</v>
      </c>
      <c r="F138" s="33"/>
      <c r="N138" s="40">
        <v>86</v>
      </c>
      <c r="O138" s="33">
        <f t="shared" si="11"/>
        <v>295.55599999999998</v>
      </c>
      <c r="Q138" s="40">
        <v>86</v>
      </c>
      <c r="R138" s="30" t="str">
        <f t="shared" si="10"/>
        <v>CL-7</v>
      </c>
      <c r="AA138" s="40">
        <v>75</v>
      </c>
      <c r="AB138" s="30" t="str">
        <f t="array" ref="AB138">INDEX($W$3:$W$34, MATCH(1, (AA138&gt;=$U$3:$U$34) * (AA138&lt;$V$3:$V$34), 0))</f>
        <v>CL-6</v>
      </c>
    </row>
    <row r="139" spans="4:28" ht="18.75" customHeight="1" x14ac:dyDescent="0.25">
      <c r="D139" s="40">
        <v>87</v>
      </c>
      <c r="E139" s="33">
        <v>302.11500000000001</v>
      </c>
      <c r="F139" s="33"/>
      <c r="N139" s="40">
        <v>87</v>
      </c>
      <c r="O139" s="33">
        <f t="shared" si="11"/>
        <v>296.22766666666666</v>
      </c>
      <c r="Q139" s="40">
        <v>87</v>
      </c>
      <c r="R139" s="30" t="str">
        <f t="shared" si="10"/>
        <v>CL-7</v>
      </c>
      <c r="AA139" s="40">
        <v>76</v>
      </c>
      <c r="AB139" s="30" t="str">
        <f t="array" ref="AB139">INDEX($W$3:$W$34, MATCH(1, (AA139&gt;=$U$3:$U$34) * (AA139&lt;$V$3:$V$34), 0))</f>
        <v>CL-6</v>
      </c>
    </row>
    <row r="140" spans="4:28" ht="18.75" customHeight="1" x14ac:dyDescent="0.25">
      <c r="D140" s="40">
        <v>88</v>
      </c>
      <c r="E140" s="33">
        <v>318.471</v>
      </c>
      <c r="F140" s="33"/>
      <c r="N140" s="40">
        <v>88</v>
      </c>
      <c r="O140" s="33">
        <f t="shared" si="11"/>
        <v>317.97300000000001</v>
      </c>
      <c r="Q140" s="40">
        <v>88</v>
      </c>
      <c r="R140" s="30" t="str">
        <f t="shared" si="10"/>
        <v>CL-7</v>
      </c>
      <c r="AA140" s="40">
        <v>77</v>
      </c>
      <c r="AB140" s="30" t="str">
        <f t="array" ref="AB140">INDEX($W$3:$W$34, MATCH(1, (AA140&gt;=$U$3:$U$34) * (AA140&lt;$V$3:$V$34), 0))</f>
        <v>CL-6</v>
      </c>
    </row>
    <row r="141" spans="4:28" ht="18.75" customHeight="1" x14ac:dyDescent="0.25">
      <c r="D141" s="40">
        <v>89</v>
      </c>
      <c r="E141" s="33">
        <v>333.33300000000003</v>
      </c>
      <c r="F141" s="33"/>
      <c r="N141" s="40">
        <v>89</v>
      </c>
      <c r="O141" s="33">
        <f t="shared" si="11"/>
        <v>329.12466666666666</v>
      </c>
      <c r="Q141" s="40">
        <v>89</v>
      </c>
      <c r="R141" s="30" t="str">
        <f t="shared" si="10"/>
        <v>CL-7</v>
      </c>
      <c r="AA141" s="40">
        <v>78</v>
      </c>
      <c r="AB141" s="30" t="str">
        <f t="array" ref="AB141">INDEX($W$3:$W$34, MATCH(1, (AA141&gt;=$U$3:$U$34) * (AA141&lt;$V$3:$V$34), 0))</f>
        <v>CL-6</v>
      </c>
    </row>
    <row r="142" spans="4:28" ht="18.75" customHeight="1" x14ac:dyDescent="0.25">
      <c r="D142" s="40">
        <v>90</v>
      </c>
      <c r="E142" s="33">
        <v>335.57</v>
      </c>
      <c r="F142" s="33"/>
      <c r="N142" s="40">
        <v>90</v>
      </c>
      <c r="O142" s="33">
        <f t="shared" si="11"/>
        <v>345.51666666666665</v>
      </c>
      <c r="Q142" s="40">
        <v>90</v>
      </c>
      <c r="R142" s="30" t="str">
        <f t="shared" si="10"/>
        <v>CL-7</v>
      </c>
      <c r="AA142" s="40">
        <v>79</v>
      </c>
      <c r="AB142" s="30" t="str">
        <f t="array" ref="AB142">INDEX($W$3:$W$34, MATCH(1, (AA142&gt;=$U$3:$U$34) * (AA142&lt;$V$3:$V$34), 0))</f>
        <v>CL-6</v>
      </c>
    </row>
    <row r="143" spans="4:28" ht="18.75" customHeight="1" x14ac:dyDescent="0.25">
      <c r="D143" s="40">
        <v>91</v>
      </c>
      <c r="E143" s="33">
        <v>367.64699999999999</v>
      </c>
      <c r="F143" s="33"/>
      <c r="N143" s="40">
        <v>91</v>
      </c>
      <c r="O143" s="33">
        <f t="shared" si="11"/>
        <v>355.17866666666669</v>
      </c>
      <c r="Q143" s="40">
        <v>91</v>
      </c>
      <c r="R143" s="30" t="str">
        <f t="shared" si="10"/>
        <v>CL-8</v>
      </c>
      <c r="AA143" s="40">
        <v>80</v>
      </c>
      <c r="AB143" s="30" t="str">
        <f t="array" ref="AB143">INDEX($W$3:$W$34, MATCH(1, (AA143&gt;=$U$3:$U$34) * (AA143&lt;$V$3:$V$34), 0))</f>
        <v>CL-6</v>
      </c>
    </row>
    <row r="144" spans="4:28" ht="18.75" customHeight="1" x14ac:dyDescent="0.25">
      <c r="D144" s="40">
        <v>92</v>
      </c>
      <c r="E144" s="33">
        <v>362.31900000000002</v>
      </c>
      <c r="F144" s="33"/>
      <c r="N144" s="40">
        <v>92</v>
      </c>
      <c r="O144" s="33">
        <f t="shared" si="11"/>
        <v>355.55533333333329</v>
      </c>
      <c r="Q144" s="40">
        <v>92</v>
      </c>
      <c r="R144" s="30" t="str">
        <f t="shared" si="10"/>
        <v>CL-8</v>
      </c>
      <c r="AA144" s="40">
        <v>81</v>
      </c>
      <c r="AB144" s="30" t="str">
        <f t="array" ref="AB144">INDEX($W$3:$W$34, MATCH(1, (AA144&gt;=$U$3:$U$34) * (AA144&lt;$V$3:$V$34), 0))</f>
        <v>CL-7</v>
      </c>
    </row>
    <row r="145" spans="4:28" ht="18.75" customHeight="1" x14ac:dyDescent="0.25">
      <c r="D145" s="40">
        <v>93</v>
      </c>
      <c r="E145" s="33">
        <v>336.7</v>
      </c>
      <c r="F145" s="33"/>
      <c r="N145" s="40">
        <v>93</v>
      </c>
      <c r="O145" s="33">
        <f t="shared" si="11"/>
        <v>367.41499999999996</v>
      </c>
      <c r="Q145" s="40">
        <v>93</v>
      </c>
      <c r="R145" s="30" t="str">
        <f t="shared" si="10"/>
        <v>CL-8</v>
      </c>
      <c r="AA145" s="40">
        <v>82</v>
      </c>
      <c r="AB145" s="30" t="str">
        <f t="array" ref="AB145">INDEX($W$3:$W$34, MATCH(1, (AA145&gt;=$U$3:$U$34) * (AA145&lt;$V$3:$V$34), 0))</f>
        <v>CL-7</v>
      </c>
    </row>
    <row r="146" spans="4:28" ht="18.75" customHeight="1" x14ac:dyDescent="0.25">
      <c r="D146" s="40">
        <v>94</v>
      </c>
      <c r="E146" s="33">
        <v>403.226</v>
      </c>
      <c r="F146" s="33"/>
      <c r="N146" s="40">
        <v>94</v>
      </c>
      <c r="O146" s="33">
        <f t="shared" si="11"/>
        <v>381.59466666666663</v>
      </c>
      <c r="Q146" s="40">
        <v>94</v>
      </c>
      <c r="R146" s="30" t="str">
        <f t="shared" si="10"/>
        <v>CL-8</v>
      </c>
      <c r="AA146" s="40">
        <v>83</v>
      </c>
      <c r="AB146" s="30" t="str">
        <f t="array" ref="AB146">INDEX($W$3:$W$34, MATCH(1, (AA146&gt;=$U$3:$U$34) * (AA146&lt;$V$3:$V$34), 0))</f>
        <v>CL-7</v>
      </c>
    </row>
    <row r="147" spans="4:28" ht="18.75" customHeight="1" x14ac:dyDescent="0.25">
      <c r="D147" s="40">
        <v>95</v>
      </c>
      <c r="E147" s="33">
        <v>404.858</v>
      </c>
      <c r="F147" s="33"/>
      <c r="N147" s="40">
        <v>95</v>
      </c>
      <c r="O147" s="33">
        <f t="shared" si="11"/>
        <v>390.13433333333336</v>
      </c>
      <c r="Q147" s="40">
        <v>95</v>
      </c>
      <c r="R147" s="30" t="str">
        <f t="shared" si="10"/>
        <v>CL-8</v>
      </c>
      <c r="AA147" s="40">
        <v>84</v>
      </c>
      <c r="AB147" s="30" t="str">
        <f t="array" ref="AB147">INDEX($W$3:$W$34, MATCH(1, (AA147&gt;=$U$3:$U$34) * (AA147&lt;$V$3:$V$34), 0))</f>
        <v>CL-7</v>
      </c>
    </row>
    <row r="148" spans="4:28" ht="18.75" customHeight="1" x14ac:dyDescent="0.25">
      <c r="D148" s="40">
        <v>96</v>
      </c>
      <c r="E148" s="33">
        <v>362.31900000000002</v>
      </c>
      <c r="F148" s="33"/>
      <c r="N148" s="40">
        <v>96</v>
      </c>
      <c r="O148" s="33">
        <f t="shared" si="11"/>
        <v>367.959</v>
      </c>
      <c r="Q148" s="40">
        <v>96</v>
      </c>
      <c r="R148" s="30" t="str">
        <f t="shared" si="10"/>
        <v>CL-8</v>
      </c>
      <c r="AA148" s="40">
        <v>85</v>
      </c>
      <c r="AB148" s="30" t="str">
        <f t="array" ref="AB148">INDEX($W$3:$W$34, MATCH(1, (AA148&gt;=$U$3:$U$34) * (AA148&lt;$V$3:$V$34), 0))</f>
        <v>CL-7</v>
      </c>
    </row>
    <row r="149" spans="4:28" ht="18.75" customHeight="1" x14ac:dyDescent="0.25">
      <c r="D149" s="40">
        <v>97</v>
      </c>
      <c r="E149" s="33">
        <v>336.7</v>
      </c>
      <c r="F149" s="33"/>
      <c r="N149" s="40">
        <v>97</v>
      </c>
      <c r="O149" s="33">
        <f t="shared" si="11"/>
        <v>388.76966666666664</v>
      </c>
      <c r="Q149" s="40">
        <v>97</v>
      </c>
      <c r="R149" s="30" t="str">
        <f t="shared" si="10"/>
        <v>CL-8</v>
      </c>
      <c r="AA149" s="40">
        <v>86</v>
      </c>
      <c r="AB149" s="30" t="str">
        <f t="array" ref="AB149">INDEX($W$3:$W$34, MATCH(1, (AA149&gt;=$U$3:$U$34) * (AA149&lt;$V$3:$V$34), 0))</f>
        <v>CL-7</v>
      </c>
    </row>
    <row r="150" spans="4:28" ht="18.75" customHeight="1" x14ac:dyDescent="0.25">
      <c r="D150" s="40">
        <v>98</v>
      </c>
      <c r="E150" s="33">
        <v>467.29</v>
      </c>
      <c r="F150" s="33"/>
      <c r="N150" s="40">
        <v>98</v>
      </c>
      <c r="O150" s="33">
        <f t="shared" si="11"/>
        <v>432.20033333333339</v>
      </c>
      <c r="Q150" s="40">
        <v>98</v>
      </c>
      <c r="R150" s="30" t="str">
        <f t="shared" si="10"/>
        <v>CL-8</v>
      </c>
      <c r="AA150" s="40">
        <v>87</v>
      </c>
      <c r="AB150" s="30" t="str">
        <f t="array" ref="AB150">INDEX($W$3:$W$34, MATCH(1, (AA150&gt;=$U$3:$U$34) * (AA150&lt;$V$3:$V$34), 0))</f>
        <v>CL-7</v>
      </c>
    </row>
    <row r="151" spans="4:28" ht="18.75" customHeight="1" x14ac:dyDescent="0.25">
      <c r="D151" s="40">
        <v>99</v>
      </c>
      <c r="E151" s="33">
        <v>492.61099999999999</v>
      </c>
      <c r="F151" s="33"/>
      <c r="N151" s="40">
        <v>99</v>
      </c>
      <c r="O151" s="33">
        <f t="shared" si="11"/>
        <v>479.45666666666671</v>
      </c>
      <c r="Q151" s="40">
        <v>99</v>
      </c>
      <c r="R151" s="30" t="str">
        <f t="shared" si="10"/>
        <v>CL-8</v>
      </c>
      <c r="AA151" s="40">
        <v>88</v>
      </c>
      <c r="AB151" s="30" t="str">
        <f t="array" ref="AB151">INDEX($W$3:$W$34, MATCH(1, (AA151&gt;=$U$3:$U$34) * (AA151&lt;$V$3:$V$34), 0))</f>
        <v>CL-7</v>
      </c>
    </row>
    <row r="152" spans="4:28" ht="18.75" customHeight="1" x14ac:dyDescent="0.25">
      <c r="D152" s="40">
        <v>100</v>
      </c>
      <c r="E152" s="33">
        <v>478.46899999999999</v>
      </c>
      <c r="F152" s="33"/>
      <c r="N152" s="40">
        <v>100</v>
      </c>
      <c r="O152" s="33">
        <f t="shared" si="11"/>
        <v>474.52299999999997</v>
      </c>
      <c r="Q152" s="40">
        <v>100</v>
      </c>
      <c r="R152" s="30" t="str">
        <f t="shared" si="10"/>
        <v>CL-8</v>
      </c>
      <c r="AA152" s="40">
        <v>89</v>
      </c>
      <c r="AB152" s="30" t="str">
        <f t="array" ref="AB152">INDEX($W$3:$W$34, MATCH(1, (AA152&gt;=$U$3:$U$34) * (AA152&lt;$V$3:$V$34), 0))</f>
        <v>CL-7</v>
      </c>
    </row>
    <row r="153" spans="4:28" ht="18.75" customHeight="1" x14ac:dyDescent="0.25">
      <c r="D153" s="40">
        <v>101</v>
      </c>
      <c r="E153" s="33">
        <v>452.48899999999998</v>
      </c>
      <c r="F153" s="33"/>
      <c r="N153" s="40">
        <v>101</v>
      </c>
      <c r="O153" s="33">
        <f t="shared" si="11"/>
        <v>459.79599999999999</v>
      </c>
      <c r="Q153" s="40">
        <v>101</v>
      </c>
      <c r="R153" s="30" t="str">
        <f t="shared" si="10"/>
        <v>CL-9</v>
      </c>
      <c r="AA153" s="40">
        <v>90</v>
      </c>
      <c r="AB153" s="30" t="str">
        <f t="array" ref="AB153">INDEX($W$3:$W$34, MATCH(1, (AA153&gt;=$U$3:$U$34) * (AA153&lt;$V$3:$V$34), 0))</f>
        <v>CL-7</v>
      </c>
    </row>
    <row r="154" spans="4:28" ht="18.75" customHeight="1" x14ac:dyDescent="0.25">
      <c r="D154" s="40">
        <v>102</v>
      </c>
      <c r="E154" s="33">
        <v>448.43</v>
      </c>
      <c r="F154" s="33"/>
      <c r="N154" s="40">
        <v>102</v>
      </c>
      <c r="O154" s="33">
        <f t="shared" si="11"/>
        <v>449.7833333333333</v>
      </c>
      <c r="Q154" s="40">
        <v>102</v>
      </c>
      <c r="R154" s="30" t="str">
        <f t="shared" si="10"/>
        <v>CL-9</v>
      </c>
      <c r="AA154" s="40">
        <v>91</v>
      </c>
      <c r="AB154" s="30" t="str">
        <f t="array" ref="AB154">INDEX($W$3:$W$34, MATCH(1, (AA154&gt;=$U$3:$U$34) * (AA154&lt;$V$3:$V$34), 0))</f>
        <v>CL-8</v>
      </c>
    </row>
    <row r="155" spans="4:28" ht="18.75" customHeight="1" x14ac:dyDescent="0.25">
      <c r="D155" s="40">
        <v>103</v>
      </c>
      <c r="E155" s="33">
        <v>448.43099999999998</v>
      </c>
      <c r="F155" s="33"/>
      <c r="N155" s="40">
        <v>103</v>
      </c>
      <c r="O155" s="33">
        <f t="shared" si="11"/>
        <v>455.44833333333332</v>
      </c>
      <c r="Q155" s="40">
        <v>103</v>
      </c>
      <c r="R155" s="30" t="str">
        <f t="shared" si="10"/>
        <v>CL-9</v>
      </c>
      <c r="AA155" s="40">
        <v>92</v>
      </c>
      <c r="AB155" s="30" t="str">
        <f t="array" ref="AB155">INDEX($W$3:$W$34, MATCH(1, (AA155&gt;=$U$3:$U$34) * (AA155&lt;$V$3:$V$34), 0))</f>
        <v>CL-8</v>
      </c>
    </row>
    <row r="156" spans="4:28" ht="18.75" customHeight="1" x14ac:dyDescent="0.25">
      <c r="D156" s="40">
        <v>104</v>
      </c>
      <c r="E156" s="33">
        <v>469.48399999999998</v>
      </c>
      <c r="F156" s="33"/>
      <c r="N156" s="40">
        <v>104</v>
      </c>
      <c r="O156" s="33">
        <f t="shared" si="11"/>
        <v>477.79299999999995</v>
      </c>
      <c r="Q156" s="40">
        <v>104</v>
      </c>
      <c r="R156" s="30" t="str">
        <f t="shared" si="10"/>
        <v>CL-9</v>
      </c>
      <c r="AA156" s="40">
        <v>93</v>
      </c>
      <c r="AB156" s="30" t="str">
        <f t="array" ref="AB156">INDEX($W$3:$W$34, MATCH(1, (AA156&gt;=$U$3:$U$34) * (AA156&lt;$V$3:$V$34), 0))</f>
        <v>CL-8</v>
      </c>
    </row>
    <row r="157" spans="4:28" ht="18.75" customHeight="1" x14ac:dyDescent="0.25">
      <c r="D157" s="33">
        <v>105.1</v>
      </c>
      <c r="E157" s="33">
        <v>515.46400000000006</v>
      </c>
      <c r="F157" s="33"/>
      <c r="N157" s="33">
        <v>105.1</v>
      </c>
      <c r="O157" s="33">
        <f t="shared" si="11"/>
        <v>457.01600000000008</v>
      </c>
      <c r="Q157" s="33">
        <v>105.1</v>
      </c>
      <c r="R157" s="30" t="e">
        <f t="shared" si="10"/>
        <v>#N/A</v>
      </c>
      <c r="AA157" s="40">
        <v>94</v>
      </c>
      <c r="AB157" s="30" t="str">
        <f t="array" ref="AB157">INDEX($W$3:$W$34, MATCH(1, (AA157&gt;=$U$3:$U$34) * (AA157&lt;$V$3:$V$34), 0))</f>
        <v>CL-8</v>
      </c>
    </row>
    <row r="158" spans="4:28" ht="18.75" customHeight="1" x14ac:dyDescent="0.25">
      <c r="D158" s="40">
        <v>106</v>
      </c>
      <c r="E158" s="33">
        <v>386.1</v>
      </c>
      <c r="F158" s="33"/>
      <c r="N158" s="40">
        <v>106</v>
      </c>
      <c r="O158" s="33">
        <f t="shared" si="11"/>
        <v>428.72633333333334</v>
      </c>
      <c r="Q158" s="40">
        <v>106</v>
      </c>
      <c r="R158" s="30" t="str">
        <f t="shared" si="10"/>
        <v>CL-9</v>
      </c>
      <c r="AA158" s="40">
        <v>95</v>
      </c>
      <c r="AB158" s="30" t="str">
        <f t="array" ref="AB158">INDEX($W$3:$W$34, MATCH(1, (AA158&gt;=$U$3:$U$34) * (AA158&lt;$V$3:$V$34), 0))</f>
        <v>CL-8</v>
      </c>
    </row>
    <row r="159" spans="4:28" ht="18.75" customHeight="1" x14ac:dyDescent="0.25">
      <c r="D159" s="40">
        <v>107</v>
      </c>
      <c r="E159" s="33">
        <v>384.61500000000001</v>
      </c>
      <c r="F159" s="33"/>
      <c r="N159" s="40">
        <v>107</v>
      </c>
      <c r="O159" s="33">
        <f t="shared" si="11"/>
        <v>390.2383333333334</v>
      </c>
      <c r="Q159" s="40">
        <v>107</v>
      </c>
      <c r="R159" s="30" t="str">
        <f t="shared" si="10"/>
        <v>CL-9</v>
      </c>
      <c r="AA159" s="40">
        <v>96</v>
      </c>
      <c r="AB159" s="30" t="str">
        <f t="array" ref="AB159">INDEX($W$3:$W$34, MATCH(1, (AA159&gt;=$U$3:$U$34) * (AA159&lt;$V$3:$V$34), 0))</f>
        <v>CL-8</v>
      </c>
    </row>
    <row r="160" spans="4:28" ht="18.75" customHeight="1" x14ac:dyDescent="0.25">
      <c r="D160" s="40">
        <v>108</v>
      </c>
      <c r="E160" s="40">
        <v>400</v>
      </c>
      <c r="F160" s="40"/>
      <c r="N160" s="40">
        <v>108</v>
      </c>
      <c r="O160" s="33">
        <f t="shared" si="11"/>
        <v>378.90933333333334</v>
      </c>
      <c r="Q160" s="40">
        <v>108</v>
      </c>
      <c r="R160" s="30" t="str">
        <f t="shared" si="10"/>
        <v>CL-9</v>
      </c>
      <c r="AA160" s="40">
        <v>97</v>
      </c>
      <c r="AB160" s="30" t="str">
        <f t="array" ref="AB160">INDEX($W$3:$W$34, MATCH(1, (AA160&gt;=$U$3:$U$34) * (AA160&lt;$V$3:$V$34), 0))</f>
        <v>CL-8</v>
      </c>
    </row>
    <row r="161" spans="4:28" ht="18.75" customHeight="1" x14ac:dyDescent="0.25">
      <c r="D161" s="40">
        <v>109</v>
      </c>
      <c r="E161" s="33">
        <v>352.113</v>
      </c>
      <c r="F161" s="33"/>
      <c r="N161" s="40">
        <v>109</v>
      </c>
      <c r="O161" s="33">
        <f t="shared" si="11"/>
        <v>386.75866666666667</v>
      </c>
      <c r="Q161" s="40">
        <v>109</v>
      </c>
      <c r="R161" s="30" t="str">
        <f t="shared" si="10"/>
        <v>CL-9</v>
      </c>
      <c r="AA161" s="40">
        <v>98</v>
      </c>
      <c r="AB161" s="30" t="str">
        <f t="array" ref="AB161">INDEX($W$3:$W$34, MATCH(1, (AA161&gt;=$U$3:$U$34) * (AA161&lt;$V$3:$V$34), 0))</f>
        <v>CL-8</v>
      </c>
    </row>
    <row r="162" spans="4:28" ht="18.75" customHeight="1" x14ac:dyDescent="0.25">
      <c r="D162" s="40">
        <v>110</v>
      </c>
      <c r="E162" s="33">
        <v>408.16300000000001</v>
      </c>
      <c r="F162" s="33"/>
      <c r="N162" s="40">
        <v>110</v>
      </c>
      <c r="O162" s="33">
        <f t="shared" si="11"/>
        <v>394.66833333333335</v>
      </c>
      <c r="Q162" s="40">
        <v>110</v>
      </c>
      <c r="R162" s="30" t="str">
        <f t="shared" si="10"/>
        <v>CL-9</v>
      </c>
      <c r="AA162" s="40">
        <v>99</v>
      </c>
      <c r="AB162" s="30" t="str">
        <f t="array" ref="AB162">INDEX($W$3:$W$34, MATCH(1, (AA162&gt;=$U$3:$U$34) * (AA162&lt;$V$3:$V$34), 0))</f>
        <v>CL-8</v>
      </c>
    </row>
    <row r="163" spans="4:28" ht="18.75" customHeight="1" x14ac:dyDescent="0.25">
      <c r="D163" s="40">
        <v>111</v>
      </c>
      <c r="E163" s="33">
        <v>423.72899999999998</v>
      </c>
      <c r="F163" s="33"/>
      <c r="N163" s="40">
        <v>111</v>
      </c>
      <c r="O163" s="33">
        <f t="shared" si="11"/>
        <v>405.01133333333337</v>
      </c>
      <c r="Q163" s="40">
        <v>111</v>
      </c>
      <c r="R163" s="30" t="str">
        <f t="shared" si="10"/>
        <v>CL-10</v>
      </c>
      <c r="AA163" s="40">
        <v>100</v>
      </c>
      <c r="AB163" s="30" t="str">
        <f t="array" ref="AB163">INDEX($W$3:$W$34, MATCH(1, (AA163&gt;=$U$3:$U$34) * (AA163&lt;$V$3:$V$34), 0))</f>
        <v>CL-8</v>
      </c>
    </row>
    <row r="164" spans="4:28" ht="18.75" customHeight="1" x14ac:dyDescent="0.25">
      <c r="D164" s="40">
        <v>112</v>
      </c>
      <c r="E164" s="33">
        <v>383.142</v>
      </c>
      <c r="F164" s="33"/>
      <c r="N164" s="40">
        <v>112</v>
      </c>
      <c r="O164" s="33">
        <f t="shared" si="11"/>
        <v>396.67099999999999</v>
      </c>
      <c r="Q164" s="40">
        <v>112</v>
      </c>
      <c r="R164" s="30" t="str">
        <f t="shared" si="10"/>
        <v>CL-10</v>
      </c>
      <c r="AA164" s="40">
        <v>101</v>
      </c>
      <c r="AB164" s="30" t="str">
        <f t="array" ref="AB164">INDEX($W$3:$W$34, MATCH(1, (AA164&gt;=$U$3:$U$34) * (AA164&lt;$V$3:$V$34), 0))</f>
        <v>CL-9</v>
      </c>
    </row>
    <row r="165" spans="4:28" ht="18.75" customHeight="1" x14ac:dyDescent="0.25">
      <c r="D165" s="40">
        <v>113</v>
      </c>
      <c r="E165" s="33">
        <v>383.142</v>
      </c>
      <c r="F165" s="33"/>
      <c r="N165" s="40">
        <v>113</v>
      </c>
      <c r="O165" s="33">
        <f t="shared" si="11"/>
        <v>380.27199999999999</v>
      </c>
      <c r="Q165" s="40">
        <v>113</v>
      </c>
      <c r="R165" s="30" t="str">
        <f t="shared" si="10"/>
        <v>CL-10</v>
      </c>
      <c r="AA165" s="40">
        <v>102</v>
      </c>
      <c r="AB165" s="30" t="str">
        <f t="array" ref="AB165">INDEX($W$3:$W$34, MATCH(1, (AA165&gt;=$U$3:$U$34) * (AA165&lt;$V$3:$V$34), 0))</f>
        <v>CL-9</v>
      </c>
    </row>
    <row r="166" spans="4:28" ht="18.75" customHeight="1" x14ac:dyDescent="0.25">
      <c r="D166" s="40">
        <v>114</v>
      </c>
      <c r="E166" s="33">
        <v>374.53199999999998</v>
      </c>
      <c r="F166" s="33"/>
      <c r="N166" s="40">
        <v>114</v>
      </c>
      <c r="O166" s="33">
        <f t="shared" si="11"/>
        <v>400.0506666666667</v>
      </c>
      <c r="Q166" s="40">
        <v>114</v>
      </c>
      <c r="R166" s="30" t="str">
        <f t="shared" si="10"/>
        <v>CL-10</v>
      </c>
      <c r="AA166" s="40">
        <v>103</v>
      </c>
      <c r="AB166" s="30" t="str">
        <f t="array" ref="AB166">INDEX($W$3:$W$34, MATCH(1, (AA166&gt;=$U$3:$U$34) * (AA166&lt;$V$3:$V$34), 0))</f>
        <v>CL-9</v>
      </c>
    </row>
    <row r="167" spans="4:28" ht="18.75" customHeight="1" x14ac:dyDescent="0.25">
      <c r="D167" s="40">
        <v>115</v>
      </c>
      <c r="E167" s="33">
        <v>442.47800000000001</v>
      </c>
      <c r="F167" s="33"/>
      <c r="N167" s="40">
        <v>115</v>
      </c>
      <c r="O167" s="33">
        <f t="shared" si="11"/>
        <v>431.06666666666666</v>
      </c>
      <c r="Q167" s="40">
        <v>115</v>
      </c>
      <c r="R167" s="30" t="str">
        <f t="shared" si="10"/>
        <v>CL-10</v>
      </c>
      <c r="AA167" s="40">
        <v>104</v>
      </c>
      <c r="AB167" s="30" t="str">
        <f t="array" ref="AB167">INDEX($W$3:$W$34, MATCH(1, (AA167&gt;=$U$3:$U$34) * (AA167&lt;$V$3:$V$34), 0))</f>
        <v>CL-9</v>
      </c>
    </row>
    <row r="168" spans="4:28" ht="18.75" customHeight="1" x14ac:dyDescent="0.25">
      <c r="D168" s="40">
        <v>116</v>
      </c>
      <c r="E168" s="33">
        <v>476.19</v>
      </c>
      <c r="F168" s="33"/>
      <c r="N168" s="40">
        <v>116</v>
      </c>
      <c r="O168" s="33">
        <f t="shared" si="11"/>
        <v>431.06666666666666</v>
      </c>
      <c r="Q168" s="40">
        <v>116</v>
      </c>
      <c r="R168" s="30" t="str">
        <f t="shared" si="10"/>
        <v>CL-10</v>
      </c>
      <c r="AA168" s="40">
        <v>105</v>
      </c>
      <c r="AB168" s="30" t="str">
        <f t="array" ref="AB168">INDEX($W$3:$W$34, MATCH(1, (AA168&gt;=$U$3:$U$34) * (AA168&lt;$V$3:$V$34), 0))</f>
        <v>CL-9</v>
      </c>
    </row>
    <row r="169" spans="4:28" ht="18.75" customHeight="1" x14ac:dyDescent="0.25">
      <c r="D169" s="40">
        <v>117</v>
      </c>
      <c r="E169" s="33">
        <v>374.53199999999998</v>
      </c>
      <c r="F169" s="33"/>
      <c r="N169" s="40">
        <v>117</v>
      </c>
      <c r="O169" s="33">
        <f t="shared" si="11"/>
        <v>376.68399999999997</v>
      </c>
      <c r="Q169" s="40">
        <v>117</v>
      </c>
      <c r="R169" s="30" t="str">
        <f t="shared" si="10"/>
        <v>CL-10</v>
      </c>
      <c r="AA169" s="40">
        <v>106</v>
      </c>
      <c r="AB169" s="30" t="str">
        <f t="array" ref="AB169">INDEX($W$3:$W$34, MATCH(1, (AA169&gt;=$U$3:$U$34) * (AA169&lt;$V$3:$V$34), 0))</f>
        <v>CL-9</v>
      </c>
    </row>
    <row r="170" spans="4:28" ht="18.75" customHeight="1" x14ac:dyDescent="0.25">
      <c r="D170" s="40">
        <v>118</v>
      </c>
      <c r="E170" s="33">
        <v>279.33</v>
      </c>
      <c r="F170" s="33"/>
      <c r="N170" s="40">
        <v>118</v>
      </c>
      <c r="O170" s="33">
        <f t="shared" si="11"/>
        <v>332.89666666666665</v>
      </c>
      <c r="Q170" s="40">
        <v>118</v>
      </c>
      <c r="R170" s="30" t="str">
        <f t="shared" si="10"/>
        <v>CL-10</v>
      </c>
      <c r="AA170" s="40">
        <v>107</v>
      </c>
      <c r="AB170" s="30" t="str">
        <f t="array" ref="AB170">INDEX($W$3:$W$34, MATCH(1, (AA170&gt;=$U$3:$U$34) * (AA170&lt;$V$3:$V$34), 0))</f>
        <v>CL-9</v>
      </c>
    </row>
    <row r="171" spans="4:28" ht="18.75" customHeight="1" x14ac:dyDescent="0.25">
      <c r="D171" s="40">
        <v>119</v>
      </c>
      <c r="E171" s="33">
        <v>344.82799999999997</v>
      </c>
      <c r="F171" s="33"/>
      <c r="N171" s="40">
        <v>119</v>
      </c>
      <c r="O171" s="33">
        <f t="shared" si="11"/>
        <v>349.89666666666659</v>
      </c>
      <c r="Q171" s="40">
        <v>119</v>
      </c>
      <c r="R171" s="30" t="str">
        <f t="shared" si="10"/>
        <v>CL-10</v>
      </c>
      <c r="AA171" s="40">
        <v>108</v>
      </c>
      <c r="AB171" s="30" t="str">
        <f t="array" ref="AB171">INDEX($W$3:$W$34, MATCH(1, (AA171&gt;=$U$3:$U$34) * (AA171&lt;$V$3:$V$34), 0))</f>
        <v>CL-9</v>
      </c>
    </row>
    <row r="172" spans="4:28" ht="18.75" customHeight="1" x14ac:dyDescent="0.25">
      <c r="D172" s="40">
        <v>120</v>
      </c>
      <c r="E172" s="33">
        <v>425.53199999999998</v>
      </c>
      <c r="F172" s="33"/>
      <c r="N172" s="40">
        <v>120</v>
      </c>
      <c r="O172" s="33">
        <f t="shared" si="11"/>
        <v>374.57233333333329</v>
      </c>
      <c r="Q172" s="40">
        <v>120</v>
      </c>
      <c r="R172" s="30" t="str">
        <f t="shared" si="10"/>
        <v>CL-10</v>
      </c>
      <c r="AA172" s="40">
        <v>109</v>
      </c>
      <c r="AB172" s="30" t="str">
        <f t="array" ref="AB172">INDEX($W$3:$W$34, MATCH(1, (AA172&gt;=$U$3:$U$34) * (AA172&lt;$V$3:$V$34), 0))</f>
        <v>CL-9</v>
      </c>
    </row>
    <row r="173" spans="4:28" ht="18.75" customHeight="1" x14ac:dyDescent="0.25">
      <c r="D173" s="33">
        <v>120.9</v>
      </c>
      <c r="E173" s="33">
        <v>353.35700000000003</v>
      </c>
      <c r="F173" s="33"/>
      <c r="N173" s="33">
        <v>120.9</v>
      </c>
      <c r="O173" s="33">
        <f t="shared" si="11"/>
        <v>392.96300000000002</v>
      </c>
      <c r="Q173" s="33">
        <v>120.9</v>
      </c>
      <c r="R173" s="30" t="e">
        <f t="shared" si="10"/>
        <v>#N/A</v>
      </c>
      <c r="AA173" s="40">
        <v>110</v>
      </c>
      <c r="AB173" s="30" t="str">
        <f t="array" ref="AB173">INDEX($W$3:$W$34, MATCH(1, (AA173&gt;=$U$3:$U$34) * (AA173&lt;$V$3:$V$34), 0))</f>
        <v>CL-9</v>
      </c>
    </row>
    <row r="174" spans="4:28" ht="18.75" customHeight="1" x14ac:dyDescent="0.25">
      <c r="D174" s="40">
        <v>122</v>
      </c>
      <c r="E174" s="40">
        <v>400</v>
      </c>
      <c r="F174" s="40"/>
      <c r="N174" s="40">
        <v>122</v>
      </c>
      <c r="O174" s="33">
        <f t="shared" si="11"/>
        <v>383.39400000000001</v>
      </c>
      <c r="Q174" s="40">
        <v>122</v>
      </c>
      <c r="R174" s="30" t="str">
        <f t="shared" si="10"/>
        <v>CL-11</v>
      </c>
      <c r="AA174" s="40">
        <v>111</v>
      </c>
      <c r="AB174" s="30" t="str">
        <f t="array" ref="AB174">INDEX($W$3:$W$34, MATCH(1, (AA174&gt;=$U$3:$U$34) * (AA174&lt;$V$3:$V$34), 0))</f>
        <v>CL-10</v>
      </c>
    </row>
    <row r="175" spans="4:28" ht="18.75" customHeight="1" x14ac:dyDescent="0.25">
      <c r="D175" s="40">
        <v>123</v>
      </c>
      <c r="E175" s="33">
        <v>396.82499999999999</v>
      </c>
      <c r="F175" s="33"/>
      <c r="N175" s="40">
        <v>123</v>
      </c>
      <c r="O175" s="33">
        <f t="shared" si="11"/>
        <v>441.04700000000003</v>
      </c>
      <c r="Q175" s="40">
        <v>123</v>
      </c>
      <c r="R175" s="30" t="str">
        <f t="shared" si="10"/>
        <v>CL-11</v>
      </c>
      <c r="AA175" s="40">
        <v>112</v>
      </c>
      <c r="AB175" s="30" t="str">
        <f t="array" ref="AB175">INDEX($W$3:$W$34, MATCH(1, (AA175&gt;=$U$3:$U$34) * (AA175&lt;$V$3:$V$34), 0))</f>
        <v>CL-10</v>
      </c>
    </row>
    <row r="176" spans="4:28" ht="18.75" customHeight="1" x14ac:dyDescent="0.25">
      <c r="D176" s="40">
        <v>124</v>
      </c>
      <c r="E176" s="33">
        <v>526.31600000000003</v>
      </c>
      <c r="F176" s="33"/>
      <c r="N176" s="40">
        <v>124</v>
      </c>
      <c r="O176" s="33">
        <f t="shared" si="11"/>
        <v>448.3606666666667</v>
      </c>
      <c r="Q176" s="40">
        <v>124</v>
      </c>
      <c r="R176" s="30" t="str">
        <f t="shared" si="10"/>
        <v>CL-11</v>
      </c>
      <c r="AA176" s="40">
        <v>113</v>
      </c>
      <c r="AB176" s="30" t="str">
        <f t="array" ref="AB176">INDEX($W$3:$W$34, MATCH(1, (AA176&gt;=$U$3:$U$34) * (AA176&lt;$V$3:$V$34), 0))</f>
        <v>CL-10</v>
      </c>
    </row>
    <row r="177" spans="4:28" ht="18.75" customHeight="1" x14ac:dyDescent="0.25">
      <c r="D177" s="40">
        <v>125</v>
      </c>
      <c r="E177" s="33">
        <v>421.94099999999997</v>
      </c>
      <c r="F177" s="33"/>
      <c r="N177" s="40">
        <v>125</v>
      </c>
      <c r="O177" s="33">
        <f t="shared" si="11"/>
        <v>437.74033333333335</v>
      </c>
      <c r="Q177" s="40">
        <v>125</v>
      </c>
      <c r="R177" s="30" t="str">
        <f t="shared" si="10"/>
        <v>CL-11</v>
      </c>
      <c r="AA177" s="40">
        <v>114</v>
      </c>
      <c r="AB177" s="30" t="str">
        <f t="array" ref="AB177">INDEX($W$3:$W$34, MATCH(1, (AA177&gt;=$U$3:$U$34) * (AA177&lt;$V$3:$V$34), 0))</f>
        <v>CL-10</v>
      </c>
    </row>
    <row r="178" spans="4:28" ht="18.75" customHeight="1" x14ac:dyDescent="0.25">
      <c r="D178" s="40">
        <v>126</v>
      </c>
      <c r="E178" s="33">
        <v>364.964</v>
      </c>
      <c r="F178" s="33"/>
      <c r="N178" s="40">
        <v>126</v>
      </c>
      <c r="O178" s="33">
        <f t="shared" si="11"/>
        <v>424.90333333333336</v>
      </c>
      <c r="Q178" s="40">
        <v>126</v>
      </c>
      <c r="R178" s="30" t="str">
        <f t="shared" si="10"/>
        <v>CL-11</v>
      </c>
      <c r="AA178" s="40">
        <v>115</v>
      </c>
      <c r="AB178" s="30" t="str">
        <f t="array" ref="AB178">INDEX($W$3:$W$34, MATCH(1, (AA178&gt;=$U$3:$U$34) * (AA178&lt;$V$3:$V$34), 0))</f>
        <v>CL-10</v>
      </c>
    </row>
    <row r="179" spans="4:28" ht="18.75" customHeight="1" x14ac:dyDescent="0.25">
      <c r="D179" s="40">
        <v>127</v>
      </c>
      <c r="E179" s="33">
        <v>487.80500000000001</v>
      </c>
      <c r="F179" s="33"/>
      <c r="N179" s="40">
        <v>127</v>
      </c>
      <c r="O179" s="33">
        <f t="shared" si="11"/>
        <v>446.858</v>
      </c>
      <c r="Q179" s="40">
        <v>127</v>
      </c>
      <c r="R179" s="30" t="str">
        <f t="shared" si="10"/>
        <v>CL-11</v>
      </c>
      <c r="AA179" s="40">
        <v>116</v>
      </c>
      <c r="AB179" s="30" t="str">
        <f t="array" ref="AB179">INDEX($W$3:$W$34, MATCH(1, (AA179&gt;=$U$3:$U$34) * (AA179&lt;$V$3:$V$34), 0))</f>
        <v>CL-10</v>
      </c>
    </row>
    <row r="180" spans="4:28" ht="18.75" customHeight="1" x14ac:dyDescent="0.25">
      <c r="D180" s="40">
        <v>128</v>
      </c>
      <c r="E180" s="33">
        <v>487.80500000000001</v>
      </c>
      <c r="F180" s="33"/>
      <c r="N180" s="40">
        <v>128</v>
      </c>
      <c r="O180" s="33">
        <f t="shared" si="11"/>
        <v>491.87000000000006</v>
      </c>
      <c r="Q180" s="40">
        <v>128</v>
      </c>
      <c r="R180" s="30" t="str">
        <f t="shared" si="10"/>
        <v>CL-11</v>
      </c>
      <c r="AA180" s="40">
        <v>117</v>
      </c>
      <c r="AB180" s="30" t="str">
        <f t="array" ref="AB180">INDEX($W$3:$W$34, MATCH(1, (AA180&gt;=$U$3:$U$34) * (AA180&lt;$V$3:$V$34), 0))</f>
        <v>CL-10</v>
      </c>
    </row>
    <row r="181" spans="4:28" ht="18.75" customHeight="1" x14ac:dyDescent="0.25">
      <c r="D181" s="40">
        <v>129</v>
      </c>
      <c r="E181" s="40">
        <v>500</v>
      </c>
      <c r="F181" s="40"/>
      <c r="N181" s="40">
        <v>129</v>
      </c>
      <c r="O181" s="33">
        <f t="shared" si="11"/>
        <v>476.76100000000002</v>
      </c>
      <c r="Q181" s="40">
        <v>129</v>
      </c>
      <c r="R181" s="30" t="str">
        <f t="shared" si="10"/>
        <v>CL-11</v>
      </c>
      <c r="AA181" s="40">
        <v>118</v>
      </c>
      <c r="AB181" s="30" t="str">
        <f t="array" ref="AB181">INDEX($W$3:$W$34, MATCH(1, (AA181&gt;=$U$3:$U$34) * (AA181&lt;$V$3:$V$34), 0))</f>
        <v>CL-10</v>
      </c>
    </row>
    <row r="182" spans="4:28" ht="18.75" customHeight="1" x14ac:dyDescent="0.25">
      <c r="D182" s="40">
        <v>130</v>
      </c>
      <c r="E182" s="33">
        <v>442.47800000000001</v>
      </c>
      <c r="F182" s="33"/>
      <c r="N182" s="40">
        <v>130</v>
      </c>
      <c r="O182" s="33">
        <f t="shared" si="11"/>
        <v>461.00233333333335</v>
      </c>
      <c r="Q182" s="40">
        <v>130</v>
      </c>
      <c r="R182" s="30" t="str">
        <f t="shared" si="10"/>
        <v>CL-11</v>
      </c>
      <c r="AA182" s="40">
        <v>119</v>
      </c>
      <c r="AB182" s="30" t="str">
        <f t="array" ref="AB182">INDEX($W$3:$W$34, MATCH(1, (AA182&gt;=$U$3:$U$34) * (AA182&lt;$V$3:$V$34), 0))</f>
        <v>CL-10</v>
      </c>
    </row>
    <row r="183" spans="4:28" ht="18.75" customHeight="1" x14ac:dyDescent="0.25">
      <c r="D183" s="40">
        <v>131</v>
      </c>
      <c r="E183" s="33">
        <v>440.529</v>
      </c>
      <c r="F183" s="33"/>
      <c r="N183" s="40">
        <v>131</v>
      </c>
      <c r="O183" s="33">
        <f t="shared" si="11"/>
        <v>445.16533333333336</v>
      </c>
      <c r="Q183" s="40">
        <v>131</v>
      </c>
      <c r="R183" s="30" t="str">
        <f t="shared" si="10"/>
        <v>CL-12</v>
      </c>
      <c r="AA183" s="40">
        <v>120</v>
      </c>
      <c r="AB183" s="30" t="str">
        <f t="array" ref="AB183">INDEX($W$3:$W$34, MATCH(1, (AA183&gt;=$U$3:$U$34) * (AA183&lt;$V$3:$V$34), 0))</f>
        <v>CL-10</v>
      </c>
    </row>
    <row r="184" spans="4:28" ht="18.75" customHeight="1" x14ac:dyDescent="0.25">
      <c r="D184" s="40">
        <v>132</v>
      </c>
      <c r="E184" s="33">
        <v>452.48899999999998</v>
      </c>
      <c r="F184" s="33"/>
      <c r="N184" s="40">
        <v>132</v>
      </c>
      <c r="O184" s="33">
        <f t="shared" si="11"/>
        <v>434.84700000000004</v>
      </c>
      <c r="Q184" s="40">
        <v>132</v>
      </c>
      <c r="R184" s="30" t="str">
        <f t="shared" si="10"/>
        <v>CL-12</v>
      </c>
      <c r="AA184" s="40">
        <v>121</v>
      </c>
      <c r="AB184" s="30" t="str">
        <f t="array" ref="AB184">INDEX($W$3:$W$34, MATCH(1, (AA184&gt;=$U$3:$U$34) * (AA184&lt;$V$3:$V$34), 0))</f>
        <v>CL-11</v>
      </c>
    </row>
    <row r="185" spans="4:28" ht="18.75" customHeight="1" x14ac:dyDescent="0.25">
      <c r="D185" s="40">
        <v>133</v>
      </c>
      <c r="E185" s="33">
        <v>411.52300000000002</v>
      </c>
      <c r="F185" s="33"/>
      <c r="N185" s="40">
        <v>133</v>
      </c>
      <c r="O185" s="33">
        <f t="shared" si="11"/>
        <v>409.6583333333333</v>
      </c>
      <c r="Q185" s="40">
        <v>133</v>
      </c>
      <c r="R185" s="30" t="str">
        <f t="shared" si="10"/>
        <v>CL-12</v>
      </c>
      <c r="AA185" s="40">
        <v>122</v>
      </c>
      <c r="AB185" s="30" t="str">
        <f t="array" ref="AB185">INDEX($W$3:$W$34, MATCH(1, (AA185&gt;=$U$3:$U$34) * (AA185&lt;$V$3:$V$34), 0))</f>
        <v>CL-11</v>
      </c>
    </row>
    <row r="186" spans="4:28" ht="18.75" customHeight="1" x14ac:dyDescent="0.25">
      <c r="D186" s="40">
        <v>134</v>
      </c>
      <c r="E186" s="33">
        <v>364.96300000000002</v>
      </c>
      <c r="F186" s="33"/>
      <c r="N186" s="40">
        <v>134</v>
      </c>
      <c r="O186" s="33">
        <f t="shared" si="11"/>
        <v>399.47566666666671</v>
      </c>
      <c r="Q186" s="40">
        <v>134</v>
      </c>
      <c r="R186" s="30" t="str">
        <f t="shared" si="10"/>
        <v>CL-12</v>
      </c>
      <c r="AA186" s="40">
        <v>123</v>
      </c>
      <c r="AB186" s="30" t="str">
        <f t="array" ref="AB186">INDEX($W$3:$W$34, MATCH(1, (AA186&gt;=$U$3:$U$34) * (AA186&lt;$V$3:$V$34), 0))</f>
        <v>CL-11</v>
      </c>
    </row>
    <row r="187" spans="4:28" ht="18.75" customHeight="1" x14ac:dyDescent="0.25">
      <c r="D187" s="40">
        <v>135</v>
      </c>
      <c r="E187" s="33">
        <v>421.94099999999997</v>
      </c>
      <c r="F187" s="33"/>
      <c r="N187" s="40">
        <v>135</v>
      </c>
      <c r="O187" s="33">
        <f t="shared" si="11"/>
        <v>411.77800000000002</v>
      </c>
      <c r="Q187" s="40">
        <v>135</v>
      </c>
      <c r="R187" s="30" t="str">
        <f t="shared" si="10"/>
        <v>CL-12</v>
      </c>
      <c r="AA187" s="40">
        <v>124</v>
      </c>
      <c r="AB187" s="30" t="str">
        <f t="array" ref="AB187">INDEX($W$3:$W$34, MATCH(1, (AA187&gt;=$U$3:$U$34) * (AA187&lt;$V$3:$V$34), 0))</f>
        <v>CL-11</v>
      </c>
    </row>
    <row r="188" spans="4:28" ht="18.75" customHeight="1" x14ac:dyDescent="0.25">
      <c r="D188" s="40">
        <v>136</v>
      </c>
      <c r="E188" s="33">
        <v>448.43</v>
      </c>
      <c r="F188" s="33"/>
      <c r="N188" s="40">
        <v>136</v>
      </c>
      <c r="O188" s="33">
        <f t="shared" si="11"/>
        <v>414.50166666666672</v>
      </c>
      <c r="Q188" s="40">
        <v>136</v>
      </c>
      <c r="R188" s="30" t="str">
        <f t="shared" si="10"/>
        <v>CL-12</v>
      </c>
      <c r="AA188" s="40">
        <v>125</v>
      </c>
      <c r="AB188" s="30" t="str">
        <f t="array" ref="AB188">INDEX($W$3:$W$34, MATCH(1, (AA188&gt;=$U$3:$U$34) * (AA188&lt;$V$3:$V$34), 0))</f>
        <v>CL-11</v>
      </c>
    </row>
    <row r="189" spans="4:28" ht="18.75" customHeight="1" x14ac:dyDescent="0.25">
      <c r="D189" s="40">
        <v>137</v>
      </c>
      <c r="E189" s="33">
        <v>373.13400000000001</v>
      </c>
      <c r="F189" s="33"/>
      <c r="N189" s="40">
        <v>137</v>
      </c>
      <c r="O189" s="33">
        <f t="shared" si="11"/>
        <v>390.40466666666663</v>
      </c>
      <c r="Q189" s="40">
        <v>137</v>
      </c>
      <c r="R189" s="30" t="str">
        <f t="shared" si="10"/>
        <v>CL-12</v>
      </c>
      <c r="AA189" s="40">
        <v>126</v>
      </c>
      <c r="AB189" s="30" t="str">
        <f t="array" ref="AB189">INDEX($W$3:$W$34, MATCH(1, (AA189&gt;=$U$3:$U$34) * (AA189&lt;$V$3:$V$34), 0))</f>
        <v>CL-11</v>
      </c>
    </row>
    <row r="190" spans="4:28" ht="18.75" customHeight="1" x14ac:dyDescent="0.25">
      <c r="D190" s="40">
        <v>138</v>
      </c>
      <c r="E190" s="33">
        <v>349.65</v>
      </c>
      <c r="F190" s="33"/>
      <c r="N190" s="40">
        <v>138</v>
      </c>
      <c r="O190" s="33">
        <f t="shared" si="11"/>
        <v>393.13499999999999</v>
      </c>
      <c r="Q190" s="40">
        <v>138</v>
      </c>
      <c r="R190" s="30" t="str">
        <f t="shared" si="10"/>
        <v>CL-12</v>
      </c>
      <c r="AA190" s="40">
        <v>127</v>
      </c>
      <c r="AB190" s="30" t="str">
        <f t="array" ref="AB190">INDEX($W$3:$W$34, MATCH(1, (AA190&gt;=$U$3:$U$34) * (AA190&lt;$V$3:$V$34), 0))</f>
        <v>CL-11</v>
      </c>
    </row>
    <row r="191" spans="4:28" ht="18.75" customHeight="1" x14ac:dyDescent="0.25">
      <c r="D191" s="40">
        <v>139</v>
      </c>
      <c r="E191" s="33">
        <v>456.62099999999998</v>
      </c>
      <c r="F191" s="33"/>
      <c r="N191" s="40">
        <v>139</v>
      </c>
      <c r="O191" s="33">
        <f t="shared" si="11"/>
        <v>391.30599999999998</v>
      </c>
      <c r="Q191" s="40">
        <v>139</v>
      </c>
      <c r="R191" s="30" t="str">
        <f t="shared" si="10"/>
        <v>CL-12</v>
      </c>
      <c r="AA191" s="40">
        <v>128</v>
      </c>
      <c r="AB191" s="30" t="str">
        <f t="array" ref="AB191">INDEX($W$3:$W$34, MATCH(1, (AA191&gt;=$U$3:$U$34) * (AA191&lt;$V$3:$V$34), 0))</f>
        <v>CL-11</v>
      </c>
    </row>
    <row r="192" spans="4:28" ht="18.75" customHeight="1" x14ac:dyDescent="0.25">
      <c r="D192" s="40">
        <v>140</v>
      </c>
      <c r="E192" s="33">
        <v>367.64699999999999</v>
      </c>
      <c r="F192" s="33"/>
      <c r="N192" s="40">
        <v>140</v>
      </c>
      <c r="O192" s="33">
        <f t="shared" si="11"/>
        <v>395.529</v>
      </c>
      <c r="Q192" s="40">
        <v>140</v>
      </c>
      <c r="R192" s="30" t="str">
        <f t="shared" si="10"/>
        <v>CL-12</v>
      </c>
      <c r="AA192" s="40">
        <v>129</v>
      </c>
      <c r="AB192" s="30" t="str">
        <f t="array" ref="AB192">INDEX($W$3:$W$34, MATCH(1, (AA192&gt;=$U$3:$U$34) * (AA192&lt;$V$3:$V$34), 0))</f>
        <v>CL-11</v>
      </c>
    </row>
    <row r="193" spans="4:28" ht="18.75" customHeight="1" x14ac:dyDescent="0.25">
      <c r="D193" s="40">
        <v>141</v>
      </c>
      <c r="E193" s="33">
        <v>362.31900000000002</v>
      </c>
      <c r="F193" s="33"/>
      <c r="N193" s="40">
        <v>141</v>
      </c>
      <c r="O193" s="33">
        <f t="shared" si="11"/>
        <v>366.32333333333332</v>
      </c>
      <c r="Q193" s="40">
        <v>141</v>
      </c>
      <c r="R193" s="30" t="str">
        <f t="shared" si="10"/>
        <v>CL-13</v>
      </c>
      <c r="AA193" s="40">
        <v>130</v>
      </c>
      <c r="AB193" s="30" t="str">
        <f t="array" ref="AB193">INDEX($W$3:$W$34, MATCH(1, (AA193&gt;=$U$3:$U$34) * (AA193&lt;$V$3:$V$34), 0))</f>
        <v>CL-11</v>
      </c>
    </row>
    <row r="194" spans="4:28" ht="18.75" customHeight="1" x14ac:dyDescent="0.25">
      <c r="D194" s="40">
        <v>142</v>
      </c>
      <c r="E194" s="33">
        <v>369.00400000000002</v>
      </c>
      <c r="F194" s="33"/>
      <c r="N194" s="40">
        <v>142</v>
      </c>
      <c r="O194" s="33">
        <f t="shared" si="11"/>
        <v>383.83033333333333</v>
      </c>
      <c r="Q194" s="40">
        <v>142</v>
      </c>
      <c r="R194" s="30" t="str">
        <f t="shared" si="10"/>
        <v>CL-13</v>
      </c>
      <c r="AA194" s="40">
        <v>131</v>
      </c>
      <c r="AB194" s="30" t="str">
        <f t="array" ref="AB194">INDEX($W$3:$W$34, MATCH(1, (AA194&gt;=$U$3:$U$34) * (AA194&lt;$V$3:$V$34), 0))</f>
        <v>CL-12</v>
      </c>
    </row>
    <row r="195" spans="4:28" ht="18.75" customHeight="1" x14ac:dyDescent="0.25">
      <c r="D195" s="40">
        <v>143</v>
      </c>
      <c r="E195" s="33">
        <v>420.16800000000001</v>
      </c>
      <c r="F195" s="33"/>
      <c r="N195" s="40">
        <v>143</v>
      </c>
      <c r="O195" s="33">
        <f t="shared" si="11"/>
        <v>395.85933333333332</v>
      </c>
      <c r="Q195" s="40">
        <v>143</v>
      </c>
      <c r="R195" s="30" t="str">
        <f t="shared" ref="R195:R258" si="12">_xlfn.XLOOKUP(N195,$AA$3:$AA$307,$AB$3:$AB$307)</f>
        <v>CL-13</v>
      </c>
      <c r="AA195" s="40">
        <v>132</v>
      </c>
      <c r="AB195" s="30" t="str">
        <f t="array" ref="AB195">INDEX($W$3:$W$34, MATCH(1, (AA195&gt;=$U$3:$U$34) * (AA195&lt;$V$3:$V$34), 0))</f>
        <v>CL-12</v>
      </c>
    </row>
    <row r="196" spans="4:28" ht="18.75" customHeight="1" x14ac:dyDescent="0.25">
      <c r="D196" s="40">
        <v>144</v>
      </c>
      <c r="E196" s="33">
        <v>398.40600000000001</v>
      </c>
      <c r="F196" s="33"/>
      <c r="N196" s="40">
        <v>144</v>
      </c>
      <c r="O196" s="33">
        <f t="shared" ref="O196:O259" si="13">AVERAGE(E195:E197)</f>
        <v>406.19133333333338</v>
      </c>
      <c r="Q196" s="40">
        <v>144</v>
      </c>
      <c r="R196" s="30" t="str">
        <f t="shared" si="12"/>
        <v>CL-13</v>
      </c>
      <c r="AA196" s="40">
        <v>133</v>
      </c>
      <c r="AB196" s="30" t="str">
        <f t="array" ref="AB196">INDEX($W$3:$W$34, MATCH(1, (AA196&gt;=$U$3:$U$34) * (AA196&lt;$V$3:$V$34), 0))</f>
        <v>CL-12</v>
      </c>
    </row>
    <row r="197" spans="4:28" ht="18.75" customHeight="1" x14ac:dyDescent="0.25">
      <c r="D197" s="40">
        <v>145</v>
      </c>
      <c r="E197" s="40">
        <v>400</v>
      </c>
      <c r="F197" s="40"/>
      <c r="N197" s="40">
        <v>145</v>
      </c>
      <c r="O197" s="33">
        <f t="shared" si="13"/>
        <v>407.97933333333327</v>
      </c>
      <c r="Q197" s="40">
        <v>145</v>
      </c>
      <c r="R197" s="30" t="str">
        <f t="shared" si="12"/>
        <v>CL-13</v>
      </c>
      <c r="AA197" s="40">
        <v>134</v>
      </c>
      <c r="AB197" s="30" t="str">
        <f t="array" ref="AB197">INDEX($W$3:$W$34, MATCH(1, (AA197&gt;=$U$3:$U$34) * (AA197&lt;$V$3:$V$34), 0))</f>
        <v>CL-12</v>
      </c>
    </row>
    <row r="198" spans="4:28" ht="18.75" customHeight="1" x14ac:dyDescent="0.25">
      <c r="D198" s="40">
        <v>146</v>
      </c>
      <c r="E198" s="33">
        <v>425.53199999999998</v>
      </c>
      <c r="F198" s="33"/>
      <c r="N198" s="40">
        <v>146</v>
      </c>
      <c r="O198" s="33">
        <f t="shared" si="13"/>
        <v>408.51066666666662</v>
      </c>
      <c r="Q198" s="40">
        <v>146</v>
      </c>
      <c r="R198" s="30" t="str">
        <f t="shared" si="12"/>
        <v>CL-13</v>
      </c>
      <c r="AA198" s="40">
        <v>135</v>
      </c>
      <c r="AB198" s="30" t="str">
        <f t="array" ref="AB198">INDEX($W$3:$W$34, MATCH(1, (AA198&gt;=$U$3:$U$34) * (AA198&lt;$V$3:$V$34), 0))</f>
        <v>CL-12</v>
      </c>
    </row>
    <row r="199" spans="4:28" ht="18.75" customHeight="1" x14ac:dyDescent="0.25">
      <c r="D199" s="40">
        <v>147</v>
      </c>
      <c r="E199" s="40">
        <v>400</v>
      </c>
      <c r="F199" s="40"/>
      <c r="N199" s="40">
        <v>147</v>
      </c>
      <c r="O199" s="33">
        <f t="shared" si="13"/>
        <v>407.45233333333334</v>
      </c>
      <c r="Q199" s="40">
        <v>147</v>
      </c>
      <c r="R199" s="30" t="str">
        <f t="shared" si="12"/>
        <v>CL-13</v>
      </c>
      <c r="AA199" s="40">
        <v>136</v>
      </c>
      <c r="AB199" s="30" t="str">
        <f t="array" ref="AB199">INDEX($W$3:$W$34, MATCH(1, (AA199&gt;=$U$3:$U$34) * (AA199&lt;$V$3:$V$34), 0))</f>
        <v>CL-12</v>
      </c>
    </row>
    <row r="200" spans="4:28" ht="18.75" customHeight="1" x14ac:dyDescent="0.25">
      <c r="D200" s="40">
        <v>148</v>
      </c>
      <c r="E200" s="33">
        <v>396.82499999999999</v>
      </c>
      <c r="F200" s="33"/>
      <c r="N200" s="40">
        <v>148</v>
      </c>
      <c r="O200" s="33">
        <f t="shared" si="13"/>
        <v>400.56099999999998</v>
      </c>
      <c r="Q200" s="40">
        <v>148</v>
      </c>
      <c r="R200" s="30" t="str">
        <f t="shared" si="12"/>
        <v>CL-13</v>
      </c>
      <c r="AA200" s="40">
        <v>137</v>
      </c>
      <c r="AB200" s="30" t="str">
        <f t="array" ref="AB200">INDEX($W$3:$W$34, MATCH(1, (AA200&gt;=$U$3:$U$34) * (AA200&lt;$V$3:$V$34), 0))</f>
        <v>CL-12</v>
      </c>
    </row>
    <row r="201" spans="4:28" ht="18.75" customHeight="1" x14ac:dyDescent="0.25">
      <c r="D201" s="40">
        <v>149</v>
      </c>
      <c r="E201" s="33">
        <v>404.858</v>
      </c>
      <c r="F201" s="33"/>
      <c r="N201" s="40">
        <v>149</v>
      </c>
      <c r="O201" s="33">
        <f t="shared" si="13"/>
        <v>381.77533333333332</v>
      </c>
      <c r="Q201" s="40">
        <v>149</v>
      </c>
      <c r="R201" s="30" t="str">
        <f t="shared" si="12"/>
        <v>CL-13</v>
      </c>
      <c r="AA201" s="40">
        <v>138</v>
      </c>
      <c r="AB201" s="30" t="str">
        <f t="array" ref="AB201">INDEX($W$3:$W$34, MATCH(1, (AA201&gt;=$U$3:$U$34) * (AA201&lt;$V$3:$V$34), 0))</f>
        <v>CL-12</v>
      </c>
    </row>
    <row r="202" spans="4:28" ht="18.75" customHeight="1" x14ac:dyDescent="0.25">
      <c r="D202" s="40">
        <v>150</v>
      </c>
      <c r="E202" s="33">
        <v>343.64299999999997</v>
      </c>
      <c r="F202" s="33"/>
      <c r="N202" s="40">
        <v>150</v>
      </c>
      <c r="O202" s="33">
        <f t="shared" si="13"/>
        <v>353.02</v>
      </c>
      <c r="Q202" s="40">
        <v>150</v>
      </c>
      <c r="R202" s="30" t="str">
        <f t="shared" si="12"/>
        <v>CL-13</v>
      </c>
      <c r="AA202" s="40">
        <v>139</v>
      </c>
      <c r="AB202" s="30" t="str">
        <f t="array" ref="AB202">INDEX($W$3:$W$34, MATCH(1, (AA202&gt;=$U$3:$U$34) * (AA202&lt;$V$3:$V$34), 0))</f>
        <v>CL-12</v>
      </c>
    </row>
    <row r="203" spans="4:28" ht="18.75" customHeight="1" x14ac:dyDescent="0.25">
      <c r="D203" s="40">
        <v>151</v>
      </c>
      <c r="E203" s="33">
        <v>310.55900000000003</v>
      </c>
      <c r="F203" s="33"/>
      <c r="N203" s="40">
        <v>151</v>
      </c>
      <c r="O203" s="33">
        <f t="shared" si="13"/>
        <v>388.13533333333334</v>
      </c>
      <c r="Q203" s="40">
        <v>151</v>
      </c>
      <c r="R203" s="30" t="str">
        <f t="shared" si="12"/>
        <v>CL-14</v>
      </c>
      <c r="AA203" s="40">
        <v>140</v>
      </c>
      <c r="AB203" s="30" t="str">
        <f t="array" ref="AB203">INDEX($W$3:$W$34, MATCH(1, (AA203&gt;=$U$3:$U$34) * (AA203&lt;$V$3:$V$34), 0))</f>
        <v>CL-12</v>
      </c>
    </row>
    <row r="204" spans="4:28" ht="18.75" customHeight="1" x14ac:dyDescent="0.25">
      <c r="D204" s="40">
        <v>152</v>
      </c>
      <c r="E204" s="33">
        <v>510.20400000000001</v>
      </c>
      <c r="F204" s="33"/>
      <c r="N204" s="40">
        <v>152</v>
      </c>
      <c r="O204" s="33">
        <f t="shared" si="13"/>
        <v>416.64933333333335</v>
      </c>
      <c r="Q204" s="40">
        <v>152</v>
      </c>
      <c r="R204" s="30" t="str">
        <f t="shared" si="12"/>
        <v>CL-14</v>
      </c>
      <c r="AA204" s="40">
        <v>141</v>
      </c>
      <c r="AB204" s="30" t="str">
        <f t="array" ref="AB204">INDEX($W$3:$W$34, MATCH(1, (AA204&gt;=$U$3:$U$34) * (AA204&lt;$V$3:$V$34), 0))</f>
        <v>CL-13</v>
      </c>
    </row>
    <row r="205" spans="4:28" ht="18.75" customHeight="1" x14ac:dyDescent="0.25">
      <c r="D205" s="40">
        <v>153</v>
      </c>
      <c r="E205" s="33">
        <v>429.185</v>
      </c>
      <c r="F205" s="33"/>
      <c r="N205" s="40">
        <v>153</v>
      </c>
      <c r="O205" s="33">
        <f t="shared" si="13"/>
        <v>448.63100000000003</v>
      </c>
      <c r="Q205" s="40">
        <v>153</v>
      </c>
      <c r="R205" s="30" t="str">
        <f t="shared" si="12"/>
        <v>CL-14</v>
      </c>
      <c r="AA205" s="40">
        <v>142</v>
      </c>
      <c r="AB205" s="30" t="str">
        <f t="array" ref="AB205">INDEX($W$3:$W$34, MATCH(1, (AA205&gt;=$U$3:$U$34) * (AA205&lt;$V$3:$V$34), 0))</f>
        <v>CL-13</v>
      </c>
    </row>
    <row r="206" spans="4:28" ht="18.75" customHeight="1" x14ac:dyDescent="0.25">
      <c r="D206" s="40">
        <v>154</v>
      </c>
      <c r="E206" s="33">
        <v>406.50400000000002</v>
      </c>
      <c r="F206" s="33"/>
      <c r="N206" s="40">
        <v>154</v>
      </c>
      <c r="O206" s="33">
        <f t="shared" si="13"/>
        <v>440.3753333333334</v>
      </c>
      <c r="Q206" s="40">
        <v>154</v>
      </c>
      <c r="R206" s="30" t="str">
        <f t="shared" si="12"/>
        <v>CL-14</v>
      </c>
      <c r="AA206" s="40">
        <v>143</v>
      </c>
      <c r="AB206" s="30" t="str">
        <f t="array" ref="AB206">INDEX($W$3:$W$34, MATCH(1, (AA206&gt;=$U$3:$U$34) * (AA206&lt;$V$3:$V$34), 0))</f>
        <v>CL-13</v>
      </c>
    </row>
    <row r="207" spans="4:28" ht="18.75" customHeight="1" x14ac:dyDescent="0.25">
      <c r="D207" s="40">
        <v>155</v>
      </c>
      <c r="E207" s="33">
        <v>485.43700000000001</v>
      </c>
      <c r="F207" s="33"/>
      <c r="N207" s="40">
        <v>155</v>
      </c>
      <c r="O207" s="33">
        <f t="shared" si="13"/>
        <v>489.99200000000002</v>
      </c>
      <c r="Q207" s="40">
        <v>155</v>
      </c>
      <c r="R207" s="30" t="str">
        <f t="shared" si="12"/>
        <v>CL-14</v>
      </c>
      <c r="AA207" s="40">
        <v>144</v>
      </c>
      <c r="AB207" s="30" t="str">
        <f t="array" ref="AB207">INDEX($W$3:$W$34, MATCH(1, (AA207&gt;=$U$3:$U$34) * (AA207&lt;$V$3:$V$34), 0))</f>
        <v>CL-13</v>
      </c>
    </row>
    <row r="208" spans="4:28" ht="18.75" customHeight="1" x14ac:dyDescent="0.25">
      <c r="D208" s="40">
        <v>156</v>
      </c>
      <c r="E208" s="33">
        <v>578.03499999999997</v>
      </c>
      <c r="F208" s="33"/>
      <c r="N208" s="40">
        <v>156</v>
      </c>
      <c r="O208" s="33">
        <f t="shared" si="13"/>
        <v>596.91499999999996</v>
      </c>
      <c r="Q208" s="40">
        <v>156</v>
      </c>
      <c r="R208" s="30" t="str">
        <f t="shared" si="12"/>
        <v>CL-14</v>
      </c>
      <c r="AA208" s="40">
        <v>145</v>
      </c>
      <c r="AB208" s="30" t="str">
        <f t="array" ref="AB208">INDEX($W$3:$W$34, MATCH(1, (AA208&gt;=$U$3:$U$34) * (AA208&lt;$V$3:$V$34), 0))</f>
        <v>CL-13</v>
      </c>
    </row>
    <row r="209" spans="4:28" ht="18.75" customHeight="1" x14ac:dyDescent="0.25">
      <c r="D209" s="40">
        <v>157</v>
      </c>
      <c r="E209" s="33">
        <v>727.27300000000002</v>
      </c>
      <c r="F209" s="33"/>
      <c r="N209" s="40">
        <v>157</v>
      </c>
      <c r="O209" s="33">
        <f t="shared" si="13"/>
        <v>677.52700000000004</v>
      </c>
      <c r="Q209" s="40">
        <v>157</v>
      </c>
      <c r="R209" s="30" t="str">
        <f t="shared" si="12"/>
        <v>CL-14</v>
      </c>
      <c r="AA209" s="40">
        <v>146</v>
      </c>
      <c r="AB209" s="30" t="str">
        <f t="array" ref="AB209">INDEX($W$3:$W$34, MATCH(1, (AA209&gt;=$U$3:$U$34) * (AA209&lt;$V$3:$V$34), 0))</f>
        <v>CL-13</v>
      </c>
    </row>
    <row r="210" spans="4:28" ht="18.75" customHeight="1" x14ac:dyDescent="0.25">
      <c r="D210" s="40">
        <v>158</v>
      </c>
      <c r="E210" s="33">
        <v>727.27300000000002</v>
      </c>
      <c r="F210" s="33"/>
      <c r="N210" s="40">
        <v>158</v>
      </c>
      <c r="O210" s="33">
        <f t="shared" si="13"/>
        <v>673.17266666666671</v>
      </c>
      <c r="Q210" s="40">
        <v>158</v>
      </c>
      <c r="R210" s="30" t="str">
        <f t="shared" si="12"/>
        <v>CL-14</v>
      </c>
      <c r="AA210" s="40">
        <v>147</v>
      </c>
      <c r="AB210" s="30" t="str">
        <f t="array" ref="AB210">INDEX($W$3:$W$34, MATCH(1, (AA210&gt;=$U$3:$U$34) * (AA210&lt;$V$3:$V$34), 0))</f>
        <v>CL-13</v>
      </c>
    </row>
    <row r="211" spans="4:28" ht="18.75" customHeight="1" x14ac:dyDescent="0.25">
      <c r="D211" s="40">
        <v>159</v>
      </c>
      <c r="E211" s="33">
        <v>564.97199999999998</v>
      </c>
      <c r="F211" s="33"/>
      <c r="N211" s="40">
        <v>159</v>
      </c>
      <c r="O211" s="33">
        <f t="shared" si="13"/>
        <v>663.84866666666665</v>
      </c>
      <c r="Q211" s="40">
        <v>159</v>
      </c>
      <c r="R211" s="30" t="str">
        <f t="shared" si="12"/>
        <v>CL-14</v>
      </c>
      <c r="AA211" s="40">
        <v>148</v>
      </c>
      <c r="AB211" s="30" t="str">
        <f t="array" ref="AB211">INDEX($W$3:$W$34, MATCH(1, (AA211&gt;=$U$3:$U$34) * (AA211&lt;$V$3:$V$34), 0))</f>
        <v>CL-13</v>
      </c>
    </row>
    <row r="212" spans="4:28" ht="18.75" customHeight="1" x14ac:dyDescent="0.25">
      <c r="D212" s="40">
        <v>160</v>
      </c>
      <c r="E212" s="33">
        <v>699.30100000000004</v>
      </c>
      <c r="F212" s="33"/>
      <c r="N212" s="40">
        <v>160</v>
      </c>
      <c r="O212" s="33">
        <f t="shared" si="13"/>
        <v>572.93966666666677</v>
      </c>
      <c r="Q212" s="40">
        <v>160</v>
      </c>
      <c r="R212" s="30" t="str">
        <f t="shared" si="12"/>
        <v>CL-14</v>
      </c>
      <c r="AA212" s="40">
        <v>149</v>
      </c>
      <c r="AB212" s="30" t="str">
        <f t="array" ref="AB212">INDEX($W$3:$W$34, MATCH(1, (AA212&gt;=$U$3:$U$34) * (AA212&lt;$V$3:$V$34), 0))</f>
        <v>CL-13</v>
      </c>
    </row>
    <row r="213" spans="4:28" ht="18.75" customHeight="1" x14ac:dyDescent="0.25">
      <c r="D213" s="40">
        <v>161</v>
      </c>
      <c r="E213" s="33">
        <v>454.54599999999999</v>
      </c>
      <c r="F213" s="33"/>
      <c r="N213" s="40">
        <v>161</v>
      </c>
      <c r="O213" s="33">
        <f t="shared" si="13"/>
        <v>567.76599999999996</v>
      </c>
      <c r="Q213" s="40">
        <v>161</v>
      </c>
      <c r="R213" s="30" t="str">
        <f t="shared" si="12"/>
        <v>CL-15</v>
      </c>
      <c r="AA213" s="40">
        <v>150</v>
      </c>
      <c r="AB213" s="30" t="str">
        <f t="array" ref="AB213">INDEX($W$3:$W$34, MATCH(1, (AA213&gt;=$U$3:$U$34) * (AA213&lt;$V$3:$V$34), 0))</f>
        <v>CL-13</v>
      </c>
    </row>
    <row r="214" spans="4:28" ht="18.75" customHeight="1" x14ac:dyDescent="0.25">
      <c r="D214" s="40">
        <v>162</v>
      </c>
      <c r="E214" s="33">
        <v>549.45100000000002</v>
      </c>
      <c r="F214" s="33"/>
      <c r="N214" s="40">
        <v>162</v>
      </c>
      <c r="O214" s="33">
        <f t="shared" si="13"/>
        <v>460.45166666666665</v>
      </c>
      <c r="Q214" s="40">
        <v>162</v>
      </c>
      <c r="R214" s="30" t="str">
        <f t="shared" si="12"/>
        <v>CL-15</v>
      </c>
      <c r="AA214" s="40">
        <v>151</v>
      </c>
      <c r="AB214" s="30" t="str">
        <f t="array" ref="AB214">INDEX($W$3:$W$34, MATCH(1, (AA214&gt;=$U$3:$U$34) * (AA214&lt;$V$3:$V$34), 0))</f>
        <v>CL-14</v>
      </c>
    </row>
    <row r="215" spans="4:28" ht="18.75" customHeight="1" x14ac:dyDescent="0.25">
      <c r="D215" s="40">
        <v>163</v>
      </c>
      <c r="E215" s="33">
        <v>377.358</v>
      </c>
      <c r="F215" s="33"/>
      <c r="N215" s="40">
        <v>163</v>
      </c>
      <c r="O215" s="33">
        <f t="shared" si="13"/>
        <v>441.21133333333336</v>
      </c>
      <c r="Q215" s="40">
        <v>163</v>
      </c>
      <c r="R215" s="30" t="str">
        <f t="shared" si="12"/>
        <v>CL-15</v>
      </c>
      <c r="AA215" s="40">
        <v>152</v>
      </c>
      <c r="AB215" s="30" t="str">
        <f t="array" ref="AB215">INDEX($W$3:$W$34, MATCH(1, (AA215&gt;=$U$3:$U$34) * (AA215&lt;$V$3:$V$34), 0))</f>
        <v>CL-14</v>
      </c>
    </row>
    <row r="216" spans="4:28" ht="18.75" customHeight="1" x14ac:dyDescent="0.25">
      <c r="D216" s="40">
        <v>164</v>
      </c>
      <c r="E216" s="33">
        <v>396.82499999999999</v>
      </c>
      <c r="F216" s="33"/>
      <c r="N216" s="40">
        <v>164</v>
      </c>
      <c r="O216" s="33">
        <f t="shared" si="13"/>
        <v>466.39433333333335</v>
      </c>
      <c r="Q216" s="40">
        <v>164</v>
      </c>
      <c r="R216" s="30" t="str">
        <f t="shared" si="12"/>
        <v>CL-15</v>
      </c>
      <c r="AA216" s="40">
        <v>153</v>
      </c>
      <c r="AB216" s="30" t="str">
        <f t="array" ref="AB216">INDEX($W$3:$W$34, MATCH(1, (AA216&gt;=$U$3:$U$34) * (AA216&lt;$V$3:$V$34), 0))</f>
        <v>CL-14</v>
      </c>
    </row>
    <row r="217" spans="4:28" ht="18.75" customHeight="1" x14ac:dyDescent="0.25">
      <c r="D217" s="40">
        <v>165</v>
      </c>
      <c r="E217" s="40">
        <v>625</v>
      </c>
      <c r="F217" s="40"/>
      <c r="N217" s="40">
        <v>165</v>
      </c>
      <c r="O217" s="33">
        <f t="shared" si="13"/>
        <v>499.33833333333337</v>
      </c>
      <c r="Q217" s="40">
        <v>165</v>
      </c>
      <c r="R217" s="30" t="str">
        <f t="shared" si="12"/>
        <v>CL-15</v>
      </c>
      <c r="AA217" s="40">
        <v>154</v>
      </c>
      <c r="AB217" s="30" t="str">
        <f t="array" ref="AB217">INDEX($W$3:$W$34, MATCH(1, (AA217&gt;=$U$3:$U$34) * (AA217&lt;$V$3:$V$34), 0))</f>
        <v>CL-14</v>
      </c>
    </row>
    <row r="218" spans="4:28" ht="18.75" customHeight="1" x14ac:dyDescent="0.25">
      <c r="D218" s="40">
        <v>166</v>
      </c>
      <c r="E218" s="33">
        <v>476.19</v>
      </c>
      <c r="F218" s="33"/>
      <c r="N218" s="40">
        <v>166</v>
      </c>
      <c r="O218" s="33">
        <f t="shared" si="13"/>
        <v>507.71033333333338</v>
      </c>
      <c r="Q218" s="40">
        <v>166</v>
      </c>
      <c r="R218" s="30" t="str">
        <f t="shared" si="12"/>
        <v>CL-15</v>
      </c>
      <c r="AA218" s="40">
        <v>155</v>
      </c>
      <c r="AB218" s="30" t="str">
        <f t="array" ref="AB218">INDEX($W$3:$W$34, MATCH(1, (AA218&gt;=$U$3:$U$34) * (AA218&lt;$V$3:$V$34), 0))</f>
        <v>CL-14</v>
      </c>
    </row>
    <row r="219" spans="4:28" ht="18.75" customHeight="1" x14ac:dyDescent="0.25">
      <c r="D219" s="40">
        <v>167</v>
      </c>
      <c r="E219" s="33">
        <v>421.94099999999997</v>
      </c>
      <c r="F219" s="33"/>
      <c r="N219" s="40">
        <v>167</v>
      </c>
      <c r="O219" s="33">
        <f t="shared" si="13"/>
        <v>426.6033333333333</v>
      </c>
      <c r="Q219" s="40">
        <v>167</v>
      </c>
      <c r="R219" s="30" t="str">
        <f t="shared" si="12"/>
        <v>CL-15</v>
      </c>
      <c r="AA219" s="40">
        <v>156</v>
      </c>
      <c r="AB219" s="30" t="str">
        <f t="array" ref="AB219">INDEX($W$3:$W$34, MATCH(1, (AA219&gt;=$U$3:$U$34) * (AA219&lt;$V$3:$V$34), 0))</f>
        <v>CL-14</v>
      </c>
    </row>
    <row r="220" spans="4:28" ht="18.75" customHeight="1" x14ac:dyDescent="0.25">
      <c r="D220" s="40">
        <v>168</v>
      </c>
      <c r="E220" s="33">
        <v>381.67899999999997</v>
      </c>
      <c r="F220" s="33"/>
      <c r="N220" s="40">
        <v>168</v>
      </c>
      <c r="O220" s="33">
        <f t="shared" si="13"/>
        <v>459.4443333333333</v>
      </c>
      <c r="Q220" s="40">
        <v>168</v>
      </c>
      <c r="R220" s="30" t="str">
        <f t="shared" si="12"/>
        <v>CL-15</v>
      </c>
      <c r="AA220" s="40">
        <v>157</v>
      </c>
      <c r="AB220" s="30" t="str">
        <f t="array" ref="AB220">INDEX($W$3:$W$34, MATCH(1, (AA220&gt;=$U$3:$U$34) * (AA220&lt;$V$3:$V$34), 0))</f>
        <v>CL-14</v>
      </c>
    </row>
    <row r="221" spans="4:28" ht="18.75" customHeight="1" x14ac:dyDescent="0.25">
      <c r="D221" s="40">
        <v>169</v>
      </c>
      <c r="E221" s="33">
        <v>574.71299999999997</v>
      </c>
      <c r="F221" s="33"/>
      <c r="N221" s="40">
        <v>169</v>
      </c>
      <c r="O221" s="33">
        <f t="shared" si="13"/>
        <v>505.017</v>
      </c>
      <c r="Q221" s="40">
        <v>169</v>
      </c>
      <c r="R221" s="30" t="str">
        <f t="shared" si="12"/>
        <v>CL-15</v>
      </c>
      <c r="AA221" s="40">
        <v>158</v>
      </c>
      <c r="AB221" s="30" t="str">
        <f t="array" ref="AB221">INDEX($W$3:$W$34, MATCH(1, (AA221&gt;=$U$3:$U$34) * (AA221&lt;$V$3:$V$34), 0))</f>
        <v>CL-14</v>
      </c>
    </row>
    <row r="222" spans="4:28" ht="18.75" customHeight="1" x14ac:dyDescent="0.25">
      <c r="D222" s="40">
        <v>170</v>
      </c>
      <c r="E222" s="33">
        <v>558.65899999999999</v>
      </c>
      <c r="F222" s="33"/>
      <c r="N222" s="40">
        <v>170</v>
      </c>
      <c r="O222" s="33">
        <f t="shared" si="13"/>
        <v>511.12399999999997</v>
      </c>
      <c r="Q222" s="40">
        <v>170</v>
      </c>
      <c r="R222" s="30" t="str">
        <f t="shared" si="12"/>
        <v>CL-15</v>
      </c>
      <c r="AA222" s="40">
        <v>159</v>
      </c>
      <c r="AB222" s="30" t="str">
        <f t="array" ref="AB222">INDEX($W$3:$W$34, MATCH(1, (AA222&gt;=$U$3:$U$34) * (AA222&lt;$V$3:$V$34), 0))</f>
        <v>CL-14</v>
      </c>
    </row>
    <row r="223" spans="4:28" ht="18.75" customHeight="1" x14ac:dyDescent="0.25">
      <c r="D223" s="40">
        <v>171</v>
      </c>
      <c r="E223" s="40">
        <v>400</v>
      </c>
      <c r="F223" s="40"/>
      <c r="N223" s="40">
        <v>171</v>
      </c>
      <c r="O223" s="33">
        <f t="shared" si="13"/>
        <v>475.31633333333338</v>
      </c>
      <c r="Q223" s="40">
        <v>171</v>
      </c>
      <c r="R223" s="30" t="str">
        <f t="shared" si="12"/>
        <v>CL-16</v>
      </c>
      <c r="AA223" s="40">
        <v>160</v>
      </c>
      <c r="AB223" s="30" t="str">
        <f t="array" ref="AB223">INDEX($W$3:$W$34, MATCH(1, (AA223&gt;=$U$3:$U$34) * (AA223&lt;$V$3:$V$34), 0))</f>
        <v>CL-14</v>
      </c>
    </row>
    <row r="224" spans="4:28" ht="18.75" customHeight="1" x14ac:dyDescent="0.25">
      <c r="D224" s="40">
        <v>172</v>
      </c>
      <c r="E224" s="33">
        <v>467.29</v>
      </c>
      <c r="F224" s="33"/>
      <c r="N224" s="40">
        <v>172</v>
      </c>
      <c r="O224" s="33">
        <f t="shared" si="13"/>
        <v>454.113</v>
      </c>
      <c r="Q224" s="40">
        <v>172</v>
      </c>
      <c r="R224" s="30" t="str">
        <f t="shared" si="12"/>
        <v>CL-16</v>
      </c>
      <c r="AA224" s="40">
        <v>161</v>
      </c>
      <c r="AB224" s="30" t="str">
        <f t="array" ref="AB224">INDEX($W$3:$W$34, MATCH(1, (AA224&gt;=$U$3:$U$34) * (AA224&lt;$V$3:$V$34), 0))</f>
        <v>CL-15</v>
      </c>
    </row>
    <row r="225" spans="4:28" ht="18.75" customHeight="1" x14ac:dyDescent="0.25">
      <c r="D225" s="40">
        <v>173</v>
      </c>
      <c r="E225" s="33">
        <v>495.04899999999998</v>
      </c>
      <c r="F225" s="33"/>
      <c r="N225" s="40">
        <v>173</v>
      </c>
      <c r="O225" s="33">
        <f t="shared" si="13"/>
        <v>481.81033333333335</v>
      </c>
      <c r="Q225" s="40">
        <v>173</v>
      </c>
      <c r="R225" s="30" t="str">
        <f t="shared" si="12"/>
        <v>CL-16</v>
      </c>
      <c r="AA225" s="40">
        <v>162</v>
      </c>
      <c r="AB225" s="30" t="str">
        <f t="array" ref="AB225">INDEX($W$3:$W$34, MATCH(1, (AA225&gt;=$U$3:$U$34) * (AA225&lt;$V$3:$V$34), 0))</f>
        <v>CL-15</v>
      </c>
    </row>
    <row r="226" spans="4:28" ht="18.75" customHeight="1" x14ac:dyDescent="0.25">
      <c r="D226" s="40">
        <v>174</v>
      </c>
      <c r="E226" s="33">
        <v>483.09199999999998</v>
      </c>
      <c r="F226" s="33"/>
      <c r="N226" s="40">
        <v>174</v>
      </c>
      <c r="O226" s="33">
        <f t="shared" si="13"/>
        <v>539.72233333333327</v>
      </c>
      <c r="Q226" s="40">
        <v>174</v>
      </c>
      <c r="R226" s="30" t="str">
        <f t="shared" si="12"/>
        <v>CL-16</v>
      </c>
      <c r="AA226" s="40">
        <v>163</v>
      </c>
      <c r="AB226" s="30" t="str">
        <f t="array" ref="AB226">INDEX($W$3:$W$34, MATCH(1, (AA226&gt;=$U$3:$U$34) * (AA226&lt;$V$3:$V$34), 0))</f>
        <v>CL-15</v>
      </c>
    </row>
    <row r="227" spans="4:28" ht="18.75" customHeight="1" x14ac:dyDescent="0.25">
      <c r="D227" s="40">
        <v>175</v>
      </c>
      <c r="E227" s="33">
        <v>641.02599999999995</v>
      </c>
      <c r="F227" s="33"/>
      <c r="N227" s="40">
        <v>175</v>
      </c>
      <c r="O227" s="33">
        <f t="shared" si="13"/>
        <v>561.97199999999998</v>
      </c>
      <c r="Q227" s="40">
        <v>175</v>
      </c>
      <c r="R227" s="30" t="str">
        <f t="shared" si="12"/>
        <v>CL-16</v>
      </c>
      <c r="AA227" s="40">
        <v>164</v>
      </c>
      <c r="AB227" s="30" t="str">
        <f t="array" ref="AB227">INDEX($W$3:$W$34, MATCH(1, (AA227&gt;=$U$3:$U$34) * (AA227&lt;$V$3:$V$34), 0))</f>
        <v>CL-15</v>
      </c>
    </row>
    <row r="228" spans="4:28" ht="18.75" customHeight="1" x14ac:dyDescent="0.25">
      <c r="D228" s="40">
        <v>176</v>
      </c>
      <c r="E228" s="33">
        <v>561.798</v>
      </c>
      <c r="F228" s="33"/>
      <c r="N228" s="40">
        <v>176</v>
      </c>
      <c r="O228" s="33">
        <f t="shared" si="13"/>
        <v>597.59833333333336</v>
      </c>
      <c r="Q228" s="40">
        <v>176</v>
      </c>
      <c r="R228" s="30" t="str">
        <f t="shared" si="12"/>
        <v>CL-16</v>
      </c>
      <c r="AA228" s="40">
        <v>165</v>
      </c>
      <c r="AB228" s="30" t="str">
        <f t="array" ref="AB228">INDEX($W$3:$W$34, MATCH(1, (AA228&gt;=$U$3:$U$34) * (AA228&lt;$V$3:$V$34), 0))</f>
        <v>CL-15</v>
      </c>
    </row>
    <row r="229" spans="4:28" ht="18.75" customHeight="1" x14ac:dyDescent="0.25">
      <c r="D229" s="40">
        <v>177</v>
      </c>
      <c r="E229" s="33">
        <v>589.971</v>
      </c>
      <c r="F229" s="33"/>
      <c r="N229" s="40">
        <v>177</v>
      </c>
      <c r="O229" s="33">
        <f t="shared" si="13"/>
        <v>586.5573333333333</v>
      </c>
      <c r="Q229" s="40">
        <v>177</v>
      </c>
      <c r="R229" s="30" t="str">
        <f t="shared" si="12"/>
        <v>CL-16</v>
      </c>
      <c r="AA229" s="40">
        <v>166</v>
      </c>
      <c r="AB229" s="30" t="str">
        <f t="array" ref="AB229">INDEX($W$3:$W$34, MATCH(1, (AA229&gt;=$U$3:$U$34) * (AA229&lt;$V$3:$V$34), 0))</f>
        <v>CL-15</v>
      </c>
    </row>
    <row r="230" spans="4:28" ht="18.75" customHeight="1" x14ac:dyDescent="0.25">
      <c r="D230" s="40">
        <v>178</v>
      </c>
      <c r="E230" s="33">
        <v>607.90300000000002</v>
      </c>
      <c r="F230" s="33"/>
      <c r="N230" s="40">
        <v>178</v>
      </c>
      <c r="O230" s="33">
        <f t="shared" si="13"/>
        <v>586.5573333333333</v>
      </c>
      <c r="Q230" s="40">
        <v>178</v>
      </c>
      <c r="R230" s="30" t="str">
        <f t="shared" si="12"/>
        <v>CL-16</v>
      </c>
      <c r="AA230" s="40">
        <v>167</v>
      </c>
      <c r="AB230" s="30" t="str">
        <f t="array" ref="AB230">INDEX($W$3:$W$34, MATCH(1, (AA230&gt;=$U$3:$U$34) * (AA230&lt;$V$3:$V$34), 0))</f>
        <v>CL-15</v>
      </c>
    </row>
    <row r="231" spans="4:28" ht="18.75" customHeight="1" x14ac:dyDescent="0.25">
      <c r="D231" s="40">
        <v>179</v>
      </c>
      <c r="E231" s="33">
        <v>561.798</v>
      </c>
      <c r="F231" s="33"/>
      <c r="N231" s="40">
        <v>179</v>
      </c>
      <c r="O231" s="33">
        <f t="shared" si="13"/>
        <v>571.55333333333328</v>
      </c>
      <c r="Q231" s="40">
        <v>179</v>
      </c>
      <c r="R231" s="30" t="str">
        <f t="shared" si="12"/>
        <v>CL-16</v>
      </c>
      <c r="AA231" s="40">
        <v>168</v>
      </c>
      <c r="AB231" s="30" t="str">
        <f t="array" ref="AB231">INDEX($W$3:$W$34, MATCH(1, (AA231&gt;=$U$3:$U$34) * (AA231&lt;$V$3:$V$34), 0))</f>
        <v>CL-15</v>
      </c>
    </row>
    <row r="232" spans="4:28" ht="18.75" customHeight="1" x14ac:dyDescent="0.25">
      <c r="D232" s="40">
        <v>180</v>
      </c>
      <c r="E232" s="33">
        <v>544.95899999999995</v>
      </c>
      <c r="F232" s="33"/>
      <c r="N232" s="40">
        <v>180</v>
      </c>
      <c r="O232" s="33">
        <f t="shared" si="13"/>
        <v>582.59433333333334</v>
      </c>
      <c r="Q232" s="40">
        <v>180</v>
      </c>
      <c r="R232" s="30" t="str">
        <f t="shared" si="12"/>
        <v>CL-16</v>
      </c>
      <c r="AA232" s="40">
        <v>169</v>
      </c>
      <c r="AB232" s="30" t="str">
        <f t="array" ref="AB232">INDEX($W$3:$W$34, MATCH(1, (AA232&gt;=$U$3:$U$34) * (AA232&lt;$V$3:$V$34), 0))</f>
        <v>CL-15</v>
      </c>
    </row>
    <row r="233" spans="4:28" ht="18.75" customHeight="1" x14ac:dyDescent="0.25">
      <c r="D233" s="40">
        <v>181</v>
      </c>
      <c r="E233" s="33">
        <v>641.02599999999995</v>
      </c>
      <c r="F233" s="33"/>
      <c r="N233" s="40">
        <v>181</v>
      </c>
      <c r="O233" s="33">
        <f t="shared" si="13"/>
        <v>601.08966666666663</v>
      </c>
      <c r="Q233" s="40">
        <v>181</v>
      </c>
      <c r="R233" s="30" t="str">
        <f t="shared" si="12"/>
        <v>CL-17</v>
      </c>
      <c r="AA233" s="40">
        <v>170</v>
      </c>
      <c r="AB233" s="30" t="str">
        <f t="array" ref="AB233">INDEX($W$3:$W$34, MATCH(1, (AA233&gt;=$U$3:$U$34) * (AA233&lt;$V$3:$V$34), 0))</f>
        <v>CL-15</v>
      </c>
    </row>
    <row r="234" spans="4:28" ht="18.75" customHeight="1" x14ac:dyDescent="0.25">
      <c r="D234" s="40">
        <v>182</v>
      </c>
      <c r="E234" s="33">
        <v>617.28399999999999</v>
      </c>
      <c r="F234" s="33"/>
      <c r="N234" s="40">
        <v>182</v>
      </c>
      <c r="O234" s="33">
        <f t="shared" si="13"/>
        <v>590.81633333333332</v>
      </c>
      <c r="Q234" s="40">
        <v>182</v>
      </c>
      <c r="R234" s="30" t="str">
        <f t="shared" si="12"/>
        <v>CL-17</v>
      </c>
      <c r="AA234" s="40">
        <v>171</v>
      </c>
      <c r="AB234" s="30" t="str">
        <f t="array" ref="AB234">INDEX($W$3:$W$34, MATCH(1, (AA234&gt;=$U$3:$U$34) * (AA234&lt;$V$3:$V$34), 0))</f>
        <v>CL-16</v>
      </c>
    </row>
    <row r="235" spans="4:28" ht="18.75" customHeight="1" x14ac:dyDescent="0.25">
      <c r="D235" s="40">
        <v>183</v>
      </c>
      <c r="E235" s="33">
        <v>514.13900000000001</v>
      </c>
      <c r="F235" s="33"/>
      <c r="N235" s="40">
        <v>183</v>
      </c>
      <c r="O235" s="33">
        <f t="shared" si="13"/>
        <v>636.54433333333338</v>
      </c>
      <c r="Q235" s="40">
        <v>183</v>
      </c>
      <c r="R235" s="30" t="str">
        <f t="shared" si="12"/>
        <v>CL-17</v>
      </c>
      <c r="AA235" s="40">
        <v>172</v>
      </c>
      <c r="AB235" s="30" t="str">
        <f t="array" ref="AB235">INDEX($W$3:$W$34, MATCH(1, (AA235&gt;=$U$3:$U$34) * (AA235&lt;$V$3:$V$34), 0))</f>
        <v>CL-16</v>
      </c>
    </row>
    <row r="236" spans="4:28" ht="18.75" customHeight="1" x14ac:dyDescent="0.25">
      <c r="D236" s="40">
        <v>184</v>
      </c>
      <c r="E236" s="33">
        <v>778.21</v>
      </c>
      <c r="F236" s="33"/>
      <c r="N236" s="40">
        <v>184</v>
      </c>
      <c r="O236" s="33">
        <f t="shared" si="13"/>
        <v>636.54433333333338</v>
      </c>
      <c r="Q236" s="40">
        <v>184</v>
      </c>
      <c r="R236" s="30" t="str">
        <f t="shared" si="12"/>
        <v>CL-17</v>
      </c>
      <c r="AA236" s="40">
        <v>173</v>
      </c>
      <c r="AB236" s="30" t="str">
        <f t="array" ref="AB236">INDEX($W$3:$W$34, MATCH(1, (AA236&gt;=$U$3:$U$34) * (AA236&lt;$V$3:$V$34), 0))</f>
        <v>CL-16</v>
      </c>
    </row>
    <row r="237" spans="4:28" ht="18.75" customHeight="1" x14ac:dyDescent="0.25">
      <c r="D237" s="40">
        <v>185</v>
      </c>
      <c r="E237" s="33">
        <v>617.28399999999999</v>
      </c>
      <c r="F237" s="33"/>
      <c r="N237" s="40">
        <v>185</v>
      </c>
      <c r="O237" s="33">
        <f t="shared" si="13"/>
        <v>659.52800000000013</v>
      </c>
      <c r="Q237" s="40">
        <v>185</v>
      </c>
      <c r="R237" s="30" t="str">
        <f t="shared" si="12"/>
        <v>CL-17</v>
      </c>
      <c r="AA237" s="40">
        <v>174</v>
      </c>
      <c r="AB237" s="30" t="str">
        <f t="array" ref="AB237">INDEX($W$3:$W$34, MATCH(1, (AA237&gt;=$U$3:$U$34) * (AA237&lt;$V$3:$V$34), 0))</f>
        <v>CL-16</v>
      </c>
    </row>
    <row r="238" spans="4:28" ht="18.75" customHeight="1" x14ac:dyDescent="0.25">
      <c r="D238" s="40">
        <v>186</v>
      </c>
      <c r="E238" s="33">
        <v>583.09</v>
      </c>
      <c r="F238" s="33"/>
      <c r="N238" s="40">
        <v>186</v>
      </c>
      <c r="O238" s="33">
        <f t="shared" si="13"/>
        <v>608.45799999999997</v>
      </c>
      <c r="Q238" s="40">
        <v>186</v>
      </c>
      <c r="R238" s="30" t="str">
        <f t="shared" si="12"/>
        <v>CL-17</v>
      </c>
      <c r="AA238" s="40">
        <v>175</v>
      </c>
      <c r="AB238" s="30" t="str">
        <f t="array" ref="AB238">INDEX($W$3:$W$34, MATCH(1, (AA238&gt;=$U$3:$U$34) * (AA238&lt;$V$3:$V$34), 0))</f>
        <v>CL-16</v>
      </c>
    </row>
    <row r="239" spans="4:28" ht="18.75" customHeight="1" x14ac:dyDescent="0.25">
      <c r="D239" s="40">
        <v>187</v>
      </c>
      <c r="E239" s="40">
        <v>625</v>
      </c>
      <c r="F239" s="40"/>
      <c r="N239" s="40">
        <v>187</v>
      </c>
      <c r="O239" s="33">
        <f t="shared" si="13"/>
        <v>578.13533333333339</v>
      </c>
      <c r="Q239" s="40">
        <v>187</v>
      </c>
      <c r="R239" s="30" t="str">
        <f t="shared" si="12"/>
        <v>CL-17</v>
      </c>
      <c r="AA239" s="40">
        <v>176</v>
      </c>
      <c r="AB239" s="30" t="str">
        <f t="array" ref="AB239">INDEX($W$3:$W$34, MATCH(1, (AA239&gt;=$U$3:$U$34) * (AA239&lt;$V$3:$V$34), 0))</f>
        <v>CL-16</v>
      </c>
    </row>
    <row r="240" spans="4:28" ht="18.75" customHeight="1" x14ac:dyDescent="0.25">
      <c r="D240" s="40">
        <v>188</v>
      </c>
      <c r="E240" s="33">
        <v>526.31600000000003</v>
      </c>
      <c r="F240" s="33"/>
      <c r="N240" s="40">
        <v>188</v>
      </c>
      <c r="O240" s="33">
        <f t="shared" si="13"/>
        <v>532.25</v>
      </c>
      <c r="Q240" s="40">
        <v>188</v>
      </c>
      <c r="R240" s="30" t="str">
        <f t="shared" si="12"/>
        <v>CL-17</v>
      </c>
      <c r="AA240" s="40">
        <v>177</v>
      </c>
      <c r="AB240" s="30" t="str">
        <f t="array" ref="AB240">INDEX($W$3:$W$34, MATCH(1, (AA240&gt;=$U$3:$U$34) * (AA240&lt;$V$3:$V$34), 0))</f>
        <v>CL-16</v>
      </c>
    </row>
    <row r="241" spans="4:28" ht="18.75" customHeight="1" x14ac:dyDescent="0.25">
      <c r="D241" s="40">
        <v>189</v>
      </c>
      <c r="E241" s="33">
        <v>445.43400000000003</v>
      </c>
      <c r="F241" s="33"/>
      <c r="N241" s="40">
        <v>189</v>
      </c>
      <c r="O241" s="33">
        <f t="shared" si="13"/>
        <v>450.65933333333334</v>
      </c>
      <c r="Q241" s="40">
        <v>189</v>
      </c>
      <c r="R241" s="30" t="str">
        <f t="shared" si="12"/>
        <v>CL-17</v>
      </c>
      <c r="AA241" s="40">
        <v>178</v>
      </c>
      <c r="AB241" s="30" t="str">
        <f t="array" ref="AB241">INDEX($W$3:$W$34, MATCH(1, (AA241&gt;=$U$3:$U$34) * (AA241&lt;$V$3:$V$34), 0))</f>
        <v>CL-16</v>
      </c>
    </row>
    <row r="242" spans="4:28" ht="18.75" customHeight="1" x14ac:dyDescent="0.25">
      <c r="D242" s="40">
        <v>190</v>
      </c>
      <c r="E242" s="33">
        <v>380.22800000000001</v>
      </c>
      <c r="F242" s="33"/>
      <c r="N242" s="40">
        <v>190</v>
      </c>
      <c r="O242" s="33">
        <f t="shared" si="13"/>
        <v>424.69733333333335</v>
      </c>
      <c r="Q242" s="40">
        <v>190</v>
      </c>
      <c r="R242" s="30" t="str">
        <f t="shared" si="12"/>
        <v>CL-17</v>
      </c>
      <c r="AA242" s="40">
        <v>179</v>
      </c>
      <c r="AB242" s="30" t="str">
        <f t="array" ref="AB242">INDEX($W$3:$W$34, MATCH(1, (AA242&gt;=$U$3:$U$34) * (AA242&lt;$V$3:$V$34), 0))</f>
        <v>CL-16</v>
      </c>
    </row>
    <row r="243" spans="4:28" ht="18.75" customHeight="1" x14ac:dyDescent="0.25">
      <c r="D243" s="40">
        <v>191</v>
      </c>
      <c r="E243" s="33">
        <v>448.43</v>
      </c>
      <c r="F243" s="33"/>
      <c r="N243" s="40">
        <v>191</v>
      </c>
      <c r="O243" s="33">
        <f t="shared" si="13"/>
        <v>427.04899999999998</v>
      </c>
      <c r="Q243" s="40">
        <v>191</v>
      </c>
      <c r="R243" s="30" t="str">
        <f t="shared" si="12"/>
        <v>CL-18</v>
      </c>
      <c r="AA243" s="40">
        <v>180</v>
      </c>
      <c r="AB243" s="30" t="str">
        <f t="array" ref="AB243">INDEX($W$3:$W$34, MATCH(1, (AA243&gt;=$U$3:$U$34) * (AA243&lt;$V$3:$V$34), 0))</f>
        <v>CL-16</v>
      </c>
    </row>
    <row r="244" spans="4:28" ht="18.75" customHeight="1" x14ac:dyDescent="0.25">
      <c r="D244" s="40">
        <v>192</v>
      </c>
      <c r="E244" s="33">
        <v>452.48899999999998</v>
      </c>
      <c r="F244" s="33"/>
      <c r="N244" s="40">
        <v>192</v>
      </c>
      <c r="O244" s="33">
        <f t="shared" si="13"/>
        <v>436.91833333333335</v>
      </c>
      <c r="Q244" s="40">
        <v>192</v>
      </c>
      <c r="R244" s="30" t="str">
        <f t="shared" si="12"/>
        <v>CL-18</v>
      </c>
      <c r="AA244" s="40">
        <v>181</v>
      </c>
      <c r="AB244" s="30" t="str">
        <f t="array" ref="AB244">INDEX($W$3:$W$34, MATCH(1, (AA244&gt;=$U$3:$U$34) * (AA244&lt;$V$3:$V$34), 0))</f>
        <v>CL-17</v>
      </c>
    </row>
    <row r="245" spans="4:28" ht="18.75" customHeight="1" x14ac:dyDescent="0.25">
      <c r="D245" s="40">
        <v>193</v>
      </c>
      <c r="E245" s="33">
        <v>409.83600000000001</v>
      </c>
      <c r="F245" s="33"/>
      <c r="N245" s="40">
        <v>193</v>
      </c>
      <c r="O245" s="33">
        <f t="shared" si="13"/>
        <v>434.60866666666669</v>
      </c>
      <c r="Q245" s="40">
        <v>193</v>
      </c>
      <c r="R245" s="30" t="str">
        <f t="shared" si="12"/>
        <v>CL-18</v>
      </c>
      <c r="AA245" s="40">
        <v>182</v>
      </c>
      <c r="AB245" s="30" t="str">
        <f t="array" ref="AB245">INDEX($W$3:$W$34, MATCH(1, (AA245&gt;=$U$3:$U$34) * (AA245&lt;$V$3:$V$34), 0))</f>
        <v>CL-17</v>
      </c>
    </row>
    <row r="246" spans="4:28" ht="18.75" customHeight="1" x14ac:dyDescent="0.25">
      <c r="D246" s="40">
        <v>194</v>
      </c>
      <c r="E246" s="33">
        <v>441.50099999999998</v>
      </c>
      <c r="F246" s="33"/>
      <c r="N246" s="40">
        <v>194</v>
      </c>
      <c r="O246" s="33">
        <f t="shared" si="13"/>
        <v>431.5986666666667</v>
      </c>
      <c r="Q246" s="40">
        <v>194</v>
      </c>
      <c r="R246" s="30" t="str">
        <f t="shared" si="12"/>
        <v>CL-18</v>
      </c>
      <c r="AA246" s="40">
        <v>183</v>
      </c>
      <c r="AB246" s="30" t="str">
        <f t="array" ref="AB246">INDEX($W$3:$W$34, MATCH(1, (AA246&gt;=$U$3:$U$34) * (AA246&lt;$V$3:$V$34), 0))</f>
        <v>CL-17</v>
      </c>
    </row>
    <row r="247" spans="4:28" ht="18.75" customHeight="1" x14ac:dyDescent="0.25">
      <c r="D247" s="40">
        <v>195</v>
      </c>
      <c r="E247" s="33">
        <v>443.459</v>
      </c>
      <c r="F247" s="33"/>
      <c r="N247" s="40">
        <v>195</v>
      </c>
      <c r="O247" s="33">
        <f t="shared" si="13"/>
        <v>437.13300000000004</v>
      </c>
      <c r="Q247" s="40">
        <v>195</v>
      </c>
      <c r="R247" s="30" t="str">
        <f t="shared" si="12"/>
        <v>CL-18</v>
      </c>
      <c r="AA247" s="40">
        <v>184</v>
      </c>
      <c r="AB247" s="30" t="str">
        <f t="array" ref="AB247">INDEX($W$3:$W$34, MATCH(1, (AA247&gt;=$U$3:$U$34) * (AA247&lt;$V$3:$V$34), 0))</f>
        <v>CL-17</v>
      </c>
    </row>
    <row r="248" spans="4:28" ht="18.75" customHeight="1" x14ac:dyDescent="0.25">
      <c r="D248" s="40">
        <v>196</v>
      </c>
      <c r="E248" s="33">
        <v>426.43900000000002</v>
      </c>
      <c r="F248" s="33"/>
      <c r="N248" s="40">
        <v>196</v>
      </c>
      <c r="O248" s="33">
        <f t="shared" si="13"/>
        <v>436.80900000000003</v>
      </c>
      <c r="Q248" s="40">
        <v>196</v>
      </c>
      <c r="R248" s="30" t="str">
        <f t="shared" si="12"/>
        <v>CL-18</v>
      </c>
      <c r="AA248" s="40">
        <v>185</v>
      </c>
      <c r="AB248" s="30" t="str">
        <f t="array" ref="AB248">INDEX($W$3:$W$34, MATCH(1, (AA248&gt;=$U$3:$U$34) * (AA248&lt;$V$3:$V$34), 0))</f>
        <v>CL-17</v>
      </c>
    </row>
    <row r="249" spans="4:28" ht="18.75" customHeight="1" x14ac:dyDescent="0.25">
      <c r="D249" s="40">
        <v>197</v>
      </c>
      <c r="E249" s="33">
        <v>440.529</v>
      </c>
      <c r="F249" s="33"/>
      <c r="N249" s="40">
        <v>197</v>
      </c>
      <c r="O249" s="33">
        <f t="shared" si="13"/>
        <v>494.11766666666671</v>
      </c>
      <c r="Q249" s="40">
        <v>197</v>
      </c>
      <c r="R249" s="30" t="str">
        <f t="shared" si="12"/>
        <v>CL-18</v>
      </c>
      <c r="AA249" s="40">
        <v>186</v>
      </c>
      <c r="AB249" s="30" t="str">
        <f t="array" ref="AB249">INDEX($W$3:$W$34, MATCH(1, (AA249&gt;=$U$3:$U$34) * (AA249&lt;$V$3:$V$34), 0))</f>
        <v>CL-17</v>
      </c>
    </row>
    <row r="250" spans="4:28" ht="18.75" customHeight="1" x14ac:dyDescent="0.25">
      <c r="D250" s="40">
        <v>198</v>
      </c>
      <c r="E250" s="33">
        <v>615.38499999999999</v>
      </c>
      <c r="F250" s="33"/>
      <c r="N250" s="40">
        <v>198</v>
      </c>
      <c r="O250" s="33">
        <f t="shared" si="13"/>
        <v>524.23666666666668</v>
      </c>
      <c r="Q250" s="40">
        <v>198</v>
      </c>
      <c r="R250" s="30" t="str">
        <f t="shared" si="12"/>
        <v>CL-18</v>
      </c>
      <c r="AA250" s="40">
        <v>187</v>
      </c>
      <c r="AB250" s="30" t="str">
        <f t="array" ref="AB250">INDEX($W$3:$W$34, MATCH(1, (AA250&gt;=$U$3:$U$34) * (AA250&lt;$V$3:$V$34), 0))</f>
        <v>CL-17</v>
      </c>
    </row>
    <row r="251" spans="4:28" ht="18.75" customHeight="1" x14ac:dyDescent="0.25">
      <c r="D251" s="40">
        <v>199</v>
      </c>
      <c r="E251" s="33">
        <v>516.79600000000005</v>
      </c>
      <c r="F251" s="33"/>
      <c r="N251" s="40">
        <v>199</v>
      </c>
      <c r="O251" s="33">
        <f t="shared" si="13"/>
        <v>551.00466666666671</v>
      </c>
      <c r="Q251" s="40">
        <v>199</v>
      </c>
      <c r="R251" s="30" t="str">
        <f t="shared" si="12"/>
        <v>CL-18</v>
      </c>
      <c r="AA251" s="40">
        <v>188</v>
      </c>
      <c r="AB251" s="30" t="str">
        <f t="array" ref="AB251">INDEX($W$3:$W$34, MATCH(1, (AA251&gt;=$U$3:$U$34) * (AA251&lt;$V$3:$V$34), 0))</f>
        <v>CL-17</v>
      </c>
    </row>
    <row r="252" spans="4:28" ht="18.75" customHeight="1" x14ac:dyDescent="0.25">
      <c r="D252" s="33">
        <v>199.5</v>
      </c>
      <c r="E252" s="33">
        <v>520.83299999999997</v>
      </c>
      <c r="F252" s="33"/>
      <c r="N252" s="33">
        <v>199.5</v>
      </c>
      <c r="O252" s="33">
        <f t="shared" si="13"/>
        <v>531.57733333333329</v>
      </c>
      <c r="Q252" s="33">
        <v>199.5</v>
      </c>
      <c r="R252" s="30" t="str">
        <f t="shared" si="12"/>
        <v>CL-18</v>
      </c>
      <c r="AA252" s="40">
        <v>189</v>
      </c>
      <c r="AB252" s="30" t="str">
        <f t="array" ref="AB252">INDEX($W$3:$W$34, MATCH(1, (AA252&gt;=$U$3:$U$34) * (AA252&lt;$V$3:$V$34), 0))</f>
        <v>CL-17</v>
      </c>
    </row>
    <row r="253" spans="4:28" ht="18.75" customHeight="1" x14ac:dyDescent="0.25">
      <c r="D253" s="40">
        <v>200</v>
      </c>
      <c r="E253" s="33">
        <v>557.10299999999995</v>
      </c>
      <c r="F253" s="33"/>
      <c r="N253" s="40">
        <v>200</v>
      </c>
      <c r="O253" s="33">
        <f t="shared" si="13"/>
        <v>512.92166666666662</v>
      </c>
      <c r="Q253" s="40">
        <v>200</v>
      </c>
      <c r="R253" s="30" t="str">
        <f t="shared" si="12"/>
        <v>CL-18</v>
      </c>
      <c r="AA253" s="40">
        <v>190</v>
      </c>
      <c r="AB253" s="30" t="str">
        <f t="array" ref="AB253">INDEX($W$3:$W$34, MATCH(1, (AA253&gt;=$U$3:$U$34) * (AA253&lt;$V$3:$V$34), 0))</f>
        <v>CL-17</v>
      </c>
    </row>
    <row r="254" spans="4:28" ht="18.75" customHeight="1" x14ac:dyDescent="0.25">
      <c r="D254" s="33">
        <v>200.5</v>
      </c>
      <c r="E254" s="33">
        <v>460.82900000000001</v>
      </c>
      <c r="F254" s="33"/>
      <c r="N254" s="33">
        <v>200.5</v>
      </c>
      <c r="O254" s="33">
        <f t="shared" si="13"/>
        <v>488.12033333333329</v>
      </c>
      <c r="Q254" s="33">
        <v>200.5</v>
      </c>
      <c r="R254" s="30" t="str">
        <f t="shared" si="12"/>
        <v>CL-19</v>
      </c>
      <c r="AA254" s="40">
        <v>191</v>
      </c>
      <c r="AB254" s="30" t="str">
        <f t="array" ref="AB254">INDEX($W$3:$W$34, MATCH(1, (AA254&gt;=$U$3:$U$34) * (AA254&lt;$V$3:$V$34), 0))</f>
        <v>CL-18</v>
      </c>
    </row>
    <row r="255" spans="4:28" ht="18.75" customHeight="1" x14ac:dyDescent="0.25">
      <c r="D255" s="40">
        <v>201</v>
      </c>
      <c r="E255" s="33">
        <v>446.42899999999997</v>
      </c>
      <c r="F255" s="33"/>
      <c r="N255" s="40">
        <v>201</v>
      </c>
      <c r="O255" s="33">
        <f t="shared" si="13"/>
        <v>481.63100000000003</v>
      </c>
      <c r="Q255" s="40">
        <v>201</v>
      </c>
      <c r="R255" s="30" t="str">
        <f t="shared" si="12"/>
        <v>CL-19</v>
      </c>
      <c r="AA255" s="40">
        <v>192</v>
      </c>
      <c r="AB255" s="30" t="str">
        <f t="array" ref="AB255">INDEX($W$3:$W$34, MATCH(1, (AA255&gt;=$U$3:$U$34) * (AA255&lt;$V$3:$V$34), 0))</f>
        <v>CL-18</v>
      </c>
    </row>
    <row r="256" spans="4:28" ht="18.75" customHeight="1" x14ac:dyDescent="0.25">
      <c r="D256" s="40">
        <v>202</v>
      </c>
      <c r="E256" s="33">
        <v>537.63499999999999</v>
      </c>
      <c r="F256" s="33"/>
      <c r="N256" s="40">
        <v>202</v>
      </c>
      <c r="O256" s="33">
        <f t="shared" si="13"/>
        <v>498.08933333333334</v>
      </c>
      <c r="Q256" s="40">
        <v>202</v>
      </c>
      <c r="R256" s="30" t="str">
        <f t="shared" si="12"/>
        <v>CL-19</v>
      </c>
      <c r="AA256" s="40">
        <v>193</v>
      </c>
      <c r="AB256" s="30" t="str">
        <f t="array" ref="AB256">INDEX($W$3:$W$34, MATCH(1, (AA256&gt;=$U$3:$U$34) * (AA256&lt;$V$3:$V$34), 0))</f>
        <v>CL-18</v>
      </c>
    </row>
    <row r="257" spans="4:28" ht="18.75" customHeight="1" x14ac:dyDescent="0.25">
      <c r="D257" s="40">
        <v>203</v>
      </c>
      <c r="E257" s="33">
        <v>510.20400000000001</v>
      </c>
      <c r="F257" s="33"/>
      <c r="N257" s="40">
        <v>203</v>
      </c>
      <c r="O257" s="33">
        <f t="shared" si="13"/>
        <v>508.76933333333335</v>
      </c>
      <c r="Q257" s="40">
        <v>203</v>
      </c>
      <c r="R257" s="30" t="str">
        <f t="shared" si="12"/>
        <v>CL-19</v>
      </c>
      <c r="AA257" s="40">
        <v>194</v>
      </c>
      <c r="AB257" s="30" t="str">
        <f t="array" ref="AB257">INDEX($W$3:$W$34, MATCH(1, (AA257&gt;=$U$3:$U$34) * (AA257&lt;$V$3:$V$34), 0))</f>
        <v>CL-18</v>
      </c>
    </row>
    <row r="258" spans="4:28" ht="18.75" customHeight="1" x14ac:dyDescent="0.25">
      <c r="D258" s="40">
        <v>204</v>
      </c>
      <c r="E258" s="33">
        <v>478.46899999999999</v>
      </c>
      <c r="F258" s="33"/>
      <c r="N258" s="40">
        <v>204</v>
      </c>
      <c r="O258" s="33">
        <f t="shared" si="13"/>
        <v>484.95800000000003</v>
      </c>
      <c r="Q258" s="40">
        <v>204</v>
      </c>
      <c r="R258" s="30" t="str">
        <f t="shared" si="12"/>
        <v>CL-19</v>
      </c>
      <c r="AA258" s="40">
        <v>195</v>
      </c>
      <c r="AB258" s="30" t="str">
        <f t="array" ref="AB258">INDEX($W$3:$W$34, MATCH(1, (AA258&gt;=$U$3:$U$34) * (AA258&lt;$V$3:$V$34), 0))</f>
        <v>CL-18</v>
      </c>
    </row>
    <row r="259" spans="4:28" ht="18.75" customHeight="1" x14ac:dyDescent="0.25">
      <c r="D259" s="40">
        <v>205</v>
      </c>
      <c r="E259" s="33">
        <v>466.20100000000002</v>
      </c>
      <c r="F259" s="33"/>
      <c r="N259" s="40">
        <v>205</v>
      </c>
      <c r="O259" s="33">
        <f t="shared" si="13"/>
        <v>464.70266666666674</v>
      </c>
      <c r="Q259" s="40">
        <v>205</v>
      </c>
      <c r="R259" s="30" t="str">
        <f t="shared" ref="R259:R295" si="14">_xlfn.XLOOKUP(N259,$AA$3:$AA$307,$AB$3:$AB$307)</f>
        <v>CL-19</v>
      </c>
      <c r="AA259" s="40">
        <v>196</v>
      </c>
      <c r="AB259" s="30" t="str">
        <f t="array" ref="AB259">INDEX($W$3:$W$34, MATCH(1, (AA259&gt;=$U$3:$U$34) * (AA259&lt;$V$3:$V$34), 0))</f>
        <v>CL-18</v>
      </c>
    </row>
    <row r="260" spans="4:28" ht="18.75" customHeight="1" x14ac:dyDescent="0.25">
      <c r="D260" s="40">
        <v>206</v>
      </c>
      <c r="E260" s="33">
        <v>449.43799999999999</v>
      </c>
      <c r="F260" s="33"/>
      <c r="N260" s="40">
        <v>206</v>
      </c>
      <c r="O260" s="33">
        <f t="shared" ref="O260:O294" si="15">AVERAGE(E259:E261)</f>
        <v>459.53400000000005</v>
      </c>
      <c r="Q260" s="40">
        <v>206</v>
      </c>
      <c r="R260" s="30" t="str">
        <f t="shared" si="14"/>
        <v>CL-19</v>
      </c>
      <c r="AA260" s="40">
        <v>197</v>
      </c>
      <c r="AB260" s="30" t="str">
        <f t="array" ref="AB260">INDEX($W$3:$W$34, MATCH(1, (AA260&gt;=$U$3:$U$34) * (AA260&lt;$V$3:$V$34), 0))</f>
        <v>CL-18</v>
      </c>
    </row>
    <row r="261" spans="4:28" ht="18.75" customHeight="1" x14ac:dyDescent="0.25">
      <c r="D261" s="40">
        <v>207</v>
      </c>
      <c r="E261" s="33">
        <v>462.96300000000002</v>
      </c>
      <c r="F261" s="33"/>
      <c r="N261" s="40">
        <v>207</v>
      </c>
      <c r="O261" s="33">
        <f t="shared" si="15"/>
        <v>452.28166666666669</v>
      </c>
      <c r="Q261" s="40">
        <v>207</v>
      </c>
      <c r="R261" s="30" t="str">
        <f t="shared" si="14"/>
        <v>CL-19</v>
      </c>
      <c r="AA261" s="40">
        <v>198</v>
      </c>
      <c r="AB261" s="30" t="str">
        <f t="array" ref="AB261">INDEX($W$3:$W$34, MATCH(1, (AA261&gt;=$U$3:$U$34) * (AA261&lt;$V$3:$V$34), 0))</f>
        <v>CL-18</v>
      </c>
    </row>
    <row r="262" spans="4:28" ht="18.75" customHeight="1" x14ac:dyDescent="0.25">
      <c r="D262" s="40">
        <v>208</v>
      </c>
      <c r="E262" s="33">
        <v>444.44400000000002</v>
      </c>
      <c r="F262" s="33"/>
      <c r="N262" s="40">
        <v>208</v>
      </c>
      <c r="O262" s="33">
        <f t="shared" si="15"/>
        <v>449.63599999999997</v>
      </c>
      <c r="Q262" s="40">
        <v>208</v>
      </c>
      <c r="R262" s="30" t="str">
        <f t="shared" si="14"/>
        <v>CL-19</v>
      </c>
      <c r="AA262" s="40">
        <v>199</v>
      </c>
      <c r="AB262" s="30" t="str">
        <f t="array" ref="AB262">INDEX($W$3:$W$34, MATCH(1, (AA262&gt;=$U$3:$U$34) * (AA262&lt;$V$3:$V$34), 0))</f>
        <v>CL-18</v>
      </c>
    </row>
    <row r="263" spans="4:28" ht="18.75" customHeight="1" x14ac:dyDescent="0.25">
      <c r="D263" s="40">
        <v>209</v>
      </c>
      <c r="E263" s="33">
        <v>441.50099999999998</v>
      </c>
      <c r="F263" s="33"/>
      <c r="N263" s="40">
        <v>209</v>
      </c>
      <c r="O263" s="33">
        <f t="shared" si="15"/>
        <v>456.73566666666665</v>
      </c>
      <c r="Q263" s="40">
        <v>209</v>
      </c>
      <c r="R263" s="30" t="str">
        <f t="shared" si="14"/>
        <v>CL-19</v>
      </c>
      <c r="AA263" s="40">
        <v>199</v>
      </c>
      <c r="AB263" s="30" t="str">
        <f t="array" ref="AB263">INDEX($W$3:$W$34, MATCH(1, (AA263&gt;=$U$3:$U$34) * (AA263&lt;$V$3:$V$34), 0))</f>
        <v>CL-18</v>
      </c>
    </row>
    <row r="264" spans="4:28" ht="18.75" customHeight="1" x14ac:dyDescent="0.25">
      <c r="D264" s="40">
        <v>210</v>
      </c>
      <c r="E264" s="33">
        <v>484.262</v>
      </c>
      <c r="F264" s="33"/>
      <c r="N264" s="40">
        <v>210</v>
      </c>
      <c r="O264" s="33">
        <f t="shared" si="15"/>
        <v>474.8386666666666</v>
      </c>
      <c r="Q264" s="40">
        <v>210</v>
      </c>
      <c r="R264" s="30" t="str">
        <f t="shared" si="14"/>
        <v>CL-19</v>
      </c>
      <c r="AA264" s="33">
        <v>199.5</v>
      </c>
      <c r="AB264" s="30" t="str">
        <f t="array" ref="AB264">INDEX($W$3:$W$34, MATCH(1, (AA264&gt;=$U$3:$U$34) * (AA264&lt;$V$3:$V$34), 0))</f>
        <v>CL-18</v>
      </c>
    </row>
    <row r="265" spans="4:28" ht="18.75" customHeight="1" x14ac:dyDescent="0.25">
      <c r="D265" s="40">
        <v>211</v>
      </c>
      <c r="E265" s="33">
        <v>498.75299999999999</v>
      </c>
      <c r="F265" s="33"/>
      <c r="N265" s="40">
        <v>211</v>
      </c>
      <c r="O265" s="33">
        <f t="shared" si="15"/>
        <v>502.64966666666669</v>
      </c>
      <c r="Q265" s="40">
        <v>211</v>
      </c>
      <c r="R265" s="30" t="str">
        <f t="shared" si="14"/>
        <v>CL-20</v>
      </c>
      <c r="AA265" s="40">
        <v>200</v>
      </c>
      <c r="AB265" s="30" t="str">
        <f t="array" ref="AB265">INDEX($W$3:$W$34, MATCH(1, (AA265&gt;=$U$3:$U$34) * (AA265&lt;$V$3:$V$34), 0))</f>
        <v>CL-18</v>
      </c>
    </row>
    <row r="266" spans="4:28" ht="18.75" customHeight="1" x14ac:dyDescent="0.25">
      <c r="D266" s="40">
        <v>212</v>
      </c>
      <c r="E266" s="33">
        <v>524.93399999999997</v>
      </c>
      <c r="F266" s="33"/>
      <c r="N266" s="40">
        <v>212</v>
      </c>
      <c r="O266" s="33">
        <f t="shared" si="15"/>
        <v>520.44066666666663</v>
      </c>
      <c r="Q266" s="40">
        <v>212</v>
      </c>
      <c r="R266" s="30" t="str">
        <f t="shared" si="14"/>
        <v>CL-20</v>
      </c>
      <c r="AA266" s="33">
        <v>200.5</v>
      </c>
      <c r="AB266" s="30" t="str">
        <f t="array" ref="AB266">INDEX($W$3:$W$34, MATCH(1, (AA266&gt;=$U$3:$U$34) * (AA266&lt;$V$3:$V$34), 0))</f>
        <v>CL-19</v>
      </c>
    </row>
    <row r="267" spans="4:28" ht="18.75" customHeight="1" x14ac:dyDescent="0.25">
      <c r="D267" s="40">
        <v>214</v>
      </c>
      <c r="E267" s="33">
        <v>537.63499999999999</v>
      </c>
      <c r="F267" s="33"/>
      <c r="N267" s="40">
        <v>214</v>
      </c>
      <c r="O267" s="33">
        <f t="shared" si="15"/>
        <v>566.50400000000002</v>
      </c>
      <c r="Q267" s="40">
        <v>214</v>
      </c>
      <c r="R267" s="30" t="str">
        <f t="shared" si="14"/>
        <v>CL-20</v>
      </c>
      <c r="AA267" s="40">
        <v>201</v>
      </c>
      <c r="AB267" s="30" t="str">
        <f t="array" ref="AB267">INDEX($W$3:$W$34, MATCH(1, (AA267&gt;=$U$3:$U$34) * (AA267&lt;$V$3:$V$34), 0))</f>
        <v>CL-19</v>
      </c>
    </row>
    <row r="268" spans="4:28" ht="18.75" customHeight="1" x14ac:dyDescent="0.25">
      <c r="D268" s="40">
        <v>215</v>
      </c>
      <c r="E268" s="33">
        <v>636.94299999999998</v>
      </c>
      <c r="F268" s="33"/>
      <c r="N268" s="40">
        <v>215</v>
      </c>
      <c r="O268" s="33">
        <f t="shared" si="15"/>
        <v>577.74566666666669</v>
      </c>
      <c r="Q268" s="40">
        <v>215</v>
      </c>
      <c r="R268" s="30" t="str">
        <f t="shared" si="14"/>
        <v>CL-20</v>
      </c>
      <c r="AA268" s="40">
        <v>202</v>
      </c>
      <c r="AB268" s="30" t="str">
        <f t="array" ref="AB268">INDEX($W$3:$W$34, MATCH(1, (AA268&gt;=$U$3:$U$34) * (AA268&lt;$V$3:$V$34), 0))</f>
        <v>CL-19</v>
      </c>
    </row>
    <row r="269" spans="4:28" ht="18.75" customHeight="1" x14ac:dyDescent="0.25">
      <c r="D269" s="40">
        <v>216</v>
      </c>
      <c r="E269" s="33">
        <v>558.65899999999999</v>
      </c>
      <c r="F269" s="33"/>
      <c r="N269" s="40">
        <v>216</v>
      </c>
      <c r="O269" s="33">
        <f t="shared" si="15"/>
        <v>559.17666666666662</v>
      </c>
      <c r="Q269" s="40">
        <v>216</v>
      </c>
      <c r="R269" s="30" t="str">
        <f t="shared" si="14"/>
        <v>CL-20</v>
      </c>
      <c r="AA269" s="40">
        <v>203</v>
      </c>
      <c r="AB269" s="30" t="str">
        <f t="array" ref="AB269">INDEX($W$3:$W$34, MATCH(1, (AA269&gt;=$U$3:$U$34) * (AA269&lt;$V$3:$V$34), 0))</f>
        <v>CL-19</v>
      </c>
    </row>
    <row r="270" spans="4:28" ht="18.75" customHeight="1" x14ac:dyDescent="0.25">
      <c r="D270" s="40">
        <v>217</v>
      </c>
      <c r="E270" s="33">
        <v>481.928</v>
      </c>
      <c r="F270" s="33"/>
      <c r="N270" s="40">
        <v>217</v>
      </c>
      <c r="O270" s="33">
        <f t="shared" si="15"/>
        <v>525.1153333333333</v>
      </c>
      <c r="Q270" s="40">
        <v>217</v>
      </c>
      <c r="R270" s="30" t="str">
        <f t="shared" si="14"/>
        <v>CL-20</v>
      </c>
      <c r="AA270" s="40">
        <v>204</v>
      </c>
      <c r="AB270" s="30" t="str">
        <f t="array" ref="AB270">INDEX($W$3:$W$34, MATCH(1, (AA270&gt;=$U$3:$U$34) * (AA270&lt;$V$3:$V$34), 0))</f>
        <v>CL-19</v>
      </c>
    </row>
    <row r="271" spans="4:28" ht="18.75" customHeight="1" x14ac:dyDescent="0.25">
      <c r="D271" s="40">
        <v>218</v>
      </c>
      <c r="E271" s="33">
        <v>534.75900000000001</v>
      </c>
      <c r="F271" s="33"/>
      <c r="N271" s="40">
        <v>218</v>
      </c>
      <c r="O271" s="33">
        <f t="shared" si="15"/>
        <v>563.36233333333337</v>
      </c>
      <c r="Q271" s="40">
        <v>218</v>
      </c>
      <c r="R271" s="30" t="str">
        <f t="shared" si="14"/>
        <v>CL-20</v>
      </c>
      <c r="AA271" s="40">
        <v>205</v>
      </c>
      <c r="AB271" s="30" t="str">
        <f t="array" ref="AB271">INDEX($W$3:$W$34, MATCH(1, (AA271&gt;=$U$3:$U$34) * (AA271&lt;$V$3:$V$34), 0))</f>
        <v>CL-19</v>
      </c>
    </row>
    <row r="272" spans="4:28" ht="18.75" customHeight="1" x14ac:dyDescent="0.25">
      <c r="D272" s="40">
        <v>219</v>
      </c>
      <c r="E272" s="33">
        <v>673.4</v>
      </c>
      <c r="F272" s="33"/>
      <c r="N272" s="40">
        <v>219</v>
      </c>
      <c r="O272" s="33">
        <f t="shared" si="15"/>
        <v>627.18666666666661</v>
      </c>
      <c r="Q272" s="40">
        <v>219</v>
      </c>
      <c r="R272" s="30" t="str">
        <f t="shared" si="14"/>
        <v>CL-20</v>
      </c>
      <c r="AA272" s="40">
        <v>206</v>
      </c>
      <c r="AB272" s="30" t="str">
        <f t="array" ref="AB272">INDEX($W$3:$W$34, MATCH(1, (AA272&gt;=$U$3:$U$34) * (AA272&lt;$V$3:$V$34), 0))</f>
        <v>CL-19</v>
      </c>
    </row>
    <row r="273" spans="4:28" ht="18.75" customHeight="1" x14ac:dyDescent="0.25">
      <c r="D273" s="40">
        <v>220</v>
      </c>
      <c r="E273" s="33">
        <v>673.40099999999995</v>
      </c>
      <c r="F273" s="33"/>
      <c r="N273" s="40">
        <v>220</v>
      </c>
      <c r="O273" s="33">
        <f t="shared" si="15"/>
        <v>667.51300000000003</v>
      </c>
      <c r="Q273" s="40">
        <v>220</v>
      </c>
      <c r="R273" s="30" t="str">
        <f t="shared" si="14"/>
        <v>CL-20</v>
      </c>
      <c r="AA273" s="40">
        <v>207</v>
      </c>
      <c r="AB273" s="30" t="str">
        <f t="array" ref="AB273">INDEX($W$3:$W$34, MATCH(1, (AA273&gt;=$U$3:$U$34) * (AA273&lt;$V$3:$V$34), 0))</f>
        <v>CL-19</v>
      </c>
    </row>
    <row r="274" spans="4:28" ht="18.75" customHeight="1" x14ac:dyDescent="0.25">
      <c r="D274" s="40">
        <v>221</v>
      </c>
      <c r="E274" s="33">
        <v>655.73800000000006</v>
      </c>
      <c r="F274" s="33"/>
      <c r="N274" s="40">
        <v>221</v>
      </c>
      <c r="O274" s="33">
        <f t="shared" si="15"/>
        <v>656.0386666666667</v>
      </c>
      <c r="Q274" s="40">
        <v>221</v>
      </c>
      <c r="R274" s="30" t="str">
        <f t="shared" si="14"/>
        <v>CL-21</v>
      </c>
      <c r="AA274" s="40">
        <v>208</v>
      </c>
      <c r="AB274" s="30" t="str">
        <f t="array" ref="AB274">INDEX($W$3:$W$34, MATCH(1, (AA274&gt;=$U$3:$U$34) * (AA274&lt;$V$3:$V$34), 0))</f>
        <v>CL-19</v>
      </c>
    </row>
    <row r="275" spans="4:28" ht="18.75" customHeight="1" x14ac:dyDescent="0.25">
      <c r="D275" s="40">
        <v>222</v>
      </c>
      <c r="E275" s="33">
        <v>638.97699999999998</v>
      </c>
      <c r="F275" s="33"/>
      <c r="N275" s="40">
        <v>222</v>
      </c>
      <c r="O275" s="33">
        <f t="shared" si="15"/>
        <v>627.65000000000009</v>
      </c>
      <c r="Q275" s="40">
        <v>222</v>
      </c>
      <c r="R275" s="30" t="str">
        <f t="shared" si="14"/>
        <v>CL-21</v>
      </c>
      <c r="AA275" s="40">
        <v>209</v>
      </c>
      <c r="AB275" s="30" t="str">
        <f t="array" ref="AB275">INDEX($W$3:$W$34, MATCH(1, (AA275&gt;=$U$3:$U$34) * (AA275&lt;$V$3:$V$34), 0))</f>
        <v>CL-19</v>
      </c>
    </row>
    <row r="276" spans="4:28" ht="18.75" customHeight="1" x14ac:dyDescent="0.25">
      <c r="D276" s="40">
        <v>223</v>
      </c>
      <c r="E276" s="33">
        <v>588.23500000000001</v>
      </c>
      <c r="F276" s="33"/>
      <c r="N276" s="40">
        <v>223</v>
      </c>
      <c r="O276" s="33">
        <f t="shared" si="15"/>
        <v>649.7446666666666</v>
      </c>
      <c r="Q276" s="40">
        <v>223</v>
      </c>
      <c r="R276" s="30" t="str">
        <f t="shared" si="14"/>
        <v>CL-21</v>
      </c>
      <c r="AA276" s="40">
        <v>210</v>
      </c>
      <c r="AB276" s="30" t="str">
        <f t="array" ref="AB276">INDEX($W$3:$W$34, MATCH(1, (AA276&gt;=$U$3:$U$34) * (AA276&lt;$V$3:$V$34), 0))</f>
        <v>CL-19</v>
      </c>
    </row>
    <row r="277" spans="4:28" ht="18.75" customHeight="1" x14ac:dyDescent="0.25">
      <c r="D277" s="40">
        <v>224</v>
      </c>
      <c r="E277" s="33">
        <v>722.02200000000005</v>
      </c>
      <c r="F277" s="33"/>
      <c r="N277" s="40">
        <v>224</v>
      </c>
      <c r="O277" s="33">
        <f t="shared" si="15"/>
        <v>700.25700000000006</v>
      </c>
      <c r="Q277" s="40">
        <v>224</v>
      </c>
      <c r="R277" s="30" t="str">
        <f t="shared" si="14"/>
        <v>CL-21</v>
      </c>
      <c r="AA277" s="40">
        <v>211</v>
      </c>
      <c r="AB277" s="30" t="str">
        <f t="array" ref="AB277">INDEX($W$3:$W$34, MATCH(1, (AA277&gt;=$U$3:$U$34) * (AA277&lt;$V$3:$V$34), 0))</f>
        <v>CL-20</v>
      </c>
    </row>
    <row r="278" spans="4:28" ht="18.75" customHeight="1" x14ac:dyDescent="0.25">
      <c r="D278" s="40">
        <v>225</v>
      </c>
      <c r="E278" s="33">
        <v>790.51400000000001</v>
      </c>
      <c r="F278" s="33"/>
      <c r="N278" s="40">
        <v>225</v>
      </c>
      <c r="O278" s="33">
        <f t="shared" si="15"/>
        <v>736.4666666666667</v>
      </c>
      <c r="Q278" s="40">
        <v>225</v>
      </c>
      <c r="R278" s="30" t="str">
        <f t="shared" si="14"/>
        <v>CL-21</v>
      </c>
      <c r="AA278" s="40">
        <v>212</v>
      </c>
      <c r="AB278" s="30" t="str">
        <f t="array" ref="AB278">INDEX($W$3:$W$34, MATCH(1, (AA278&gt;=$U$3:$U$34) * (AA278&lt;$V$3:$V$34), 0))</f>
        <v>CL-20</v>
      </c>
    </row>
    <row r="279" spans="4:28" ht="18.75" customHeight="1" x14ac:dyDescent="0.25">
      <c r="D279" s="40">
        <v>226</v>
      </c>
      <c r="E279" s="33">
        <v>696.86400000000003</v>
      </c>
      <c r="F279" s="33"/>
      <c r="N279" s="40">
        <v>226</v>
      </c>
      <c r="O279" s="33">
        <f t="shared" si="15"/>
        <v>715.09100000000001</v>
      </c>
      <c r="Q279" s="40">
        <v>226</v>
      </c>
      <c r="R279" s="30" t="str">
        <f t="shared" si="14"/>
        <v>CL-21</v>
      </c>
      <c r="AA279" s="40">
        <v>214</v>
      </c>
      <c r="AB279" s="30" t="str">
        <f t="array" ref="AB279">INDEX($W$3:$W$34, MATCH(1, (AA279&gt;=$U$3:$U$34) * (AA279&lt;$V$3:$V$34), 0))</f>
        <v>CL-20</v>
      </c>
    </row>
    <row r="280" spans="4:28" ht="18.75" customHeight="1" x14ac:dyDescent="0.25">
      <c r="D280" s="40">
        <v>227</v>
      </c>
      <c r="E280" s="33">
        <v>657.89499999999998</v>
      </c>
      <c r="F280" s="33"/>
      <c r="N280" s="40">
        <v>227</v>
      </c>
      <c r="O280" s="33">
        <f t="shared" si="15"/>
        <v>669.45133333333331</v>
      </c>
      <c r="Q280" s="40">
        <v>227</v>
      </c>
      <c r="R280" s="30" t="str">
        <f t="shared" si="14"/>
        <v>CL-21</v>
      </c>
      <c r="AA280" s="40">
        <v>215</v>
      </c>
      <c r="AB280" s="30" t="str">
        <f t="array" ref="AB280">INDEX($W$3:$W$34, MATCH(1, (AA280&gt;=$U$3:$U$34) * (AA280&lt;$V$3:$V$34), 0))</f>
        <v>CL-20</v>
      </c>
    </row>
    <row r="281" spans="4:28" ht="18.75" customHeight="1" x14ac:dyDescent="0.25">
      <c r="D281" s="40">
        <v>228</v>
      </c>
      <c r="E281" s="33">
        <v>653.59500000000003</v>
      </c>
      <c r="F281" s="33"/>
      <c r="N281" s="40">
        <v>228</v>
      </c>
      <c r="O281" s="33">
        <f t="shared" si="15"/>
        <v>682.26133333333337</v>
      </c>
      <c r="Q281" s="40">
        <v>228</v>
      </c>
      <c r="R281" s="30" t="str">
        <f t="shared" si="14"/>
        <v>CL-21</v>
      </c>
      <c r="AA281" s="40">
        <v>216</v>
      </c>
      <c r="AB281" s="30" t="str">
        <f t="array" ref="AB281">INDEX($W$3:$W$34, MATCH(1, (AA281&gt;=$U$3:$U$34) * (AA281&lt;$V$3:$V$34), 0))</f>
        <v>CL-20</v>
      </c>
    </row>
    <row r="282" spans="4:28" ht="18.75" customHeight="1" x14ac:dyDescent="0.25">
      <c r="D282" s="40">
        <v>229</v>
      </c>
      <c r="E282" s="33">
        <v>735.29399999999998</v>
      </c>
      <c r="F282" s="33"/>
      <c r="N282" s="40">
        <v>229</v>
      </c>
      <c r="O282" s="33">
        <f t="shared" si="15"/>
        <v>701.91166666666675</v>
      </c>
      <c r="Q282" s="40">
        <v>229</v>
      </c>
      <c r="R282" s="30" t="str">
        <f t="shared" si="14"/>
        <v>CL-21</v>
      </c>
      <c r="AA282" s="40">
        <v>217</v>
      </c>
      <c r="AB282" s="30" t="str">
        <f t="array" ref="AB282">INDEX($W$3:$W$34, MATCH(1, (AA282&gt;=$U$3:$U$34) * (AA282&lt;$V$3:$V$34), 0))</f>
        <v>CL-20</v>
      </c>
    </row>
    <row r="283" spans="4:28" ht="18.75" customHeight="1" x14ac:dyDescent="0.25">
      <c r="D283" s="40">
        <v>230</v>
      </c>
      <c r="E283" s="33">
        <v>716.846</v>
      </c>
      <c r="F283" s="33"/>
      <c r="N283" s="40">
        <v>230</v>
      </c>
      <c r="O283" s="33">
        <f t="shared" si="15"/>
        <v>696.36099999999988</v>
      </c>
      <c r="Q283" s="40">
        <v>230</v>
      </c>
      <c r="R283" s="30" t="str">
        <f t="shared" si="14"/>
        <v>CL-21</v>
      </c>
      <c r="AA283" s="40">
        <v>218</v>
      </c>
      <c r="AB283" s="30" t="str">
        <f t="array" ref="AB283">INDEX($W$3:$W$34, MATCH(1, (AA283&gt;=$U$3:$U$34) * (AA283&lt;$V$3:$V$34), 0))</f>
        <v>CL-20</v>
      </c>
    </row>
    <row r="284" spans="4:28" ht="18.75" customHeight="1" x14ac:dyDescent="0.25">
      <c r="D284" s="40">
        <v>231</v>
      </c>
      <c r="E284" s="33">
        <v>636.94299999999998</v>
      </c>
      <c r="F284" s="33"/>
      <c r="N284" s="40">
        <v>231</v>
      </c>
      <c r="O284" s="33">
        <f t="shared" si="15"/>
        <v>676.48833333333334</v>
      </c>
      <c r="Q284" s="40">
        <v>231</v>
      </c>
      <c r="R284" s="30" t="str">
        <f t="shared" si="14"/>
        <v>CL-22</v>
      </c>
      <c r="AA284" s="40">
        <v>219</v>
      </c>
      <c r="AB284" s="30" t="str">
        <f t="array" ref="AB284">INDEX($W$3:$W$34, MATCH(1, (AA284&gt;=$U$3:$U$34) * (AA284&lt;$V$3:$V$34), 0))</f>
        <v>CL-20</v>
      </c>
    </row>
    <row r="285" spans="4:28" ht="18.75" customHeight="1" x14ac:dyDescent="0.25">
      <c r="D285" s="40">
        <v>232</v>
      </c>
      <c r="E285" s="33">
        <v>675.67600000000004</v>
      </c>
      <c r="F285" s="33"/>
      <c r="N285" s="40">
        <v>232</v>
      </c>
      <c r="O285" s="33">
        <f t="shared" si="15"/>
        <v>646.52599999999995</v>
      </c>
      <c r="Q285" s="40">
        <v>232</v>
      </c>
      <c r="R285" s="30" t="str">
        <f t="shared" si="14"/>
        <v>CL-22</v>
      </c>
      <c r="AA285" s="40">
        <v>220</v>
      </c>
      <c r="AB285" s="30" t="str">
        <f t="array" ref="AB285">INDEX($W$3:$W$34, MATCH(1, (AA285&gt;=$U$3:$U$34) * (AA285&lt;$V$3:$V$34), 0))</f>
        <v>CL-20</v>
      </c>
    </row>
    <row r="286" spans="4:28" ht="18.75" customHeight="1" x14ac:dyDescent="0.25">
      <c r="D286" s="40">
        <v>233</v>
      </c>
      <c r="E286" s="33">
        <v>626.95899999999995</v>
      </c>
      <c r="F286" s="33"/>
      <c r="N286" s="40">
        <v>233</v>
      </c>
      <c r="O286" s="33">
        <f t="shared" si="15"/>
        <v>648.57399999999996</v>
      </c>
      <c r="Q286" s="40">
        <v>233</v>
      </c>
      <c r="R286" s="30" t="str">
        <f t="shared" si="14"/>
        <v>CL-22</v>
      </c>
      <c r="AA286" s="40">
        <v>221</v>
      </c>
      <c r="AB286" s="30" t="str">
        <f t="array" ref="AB286">INDEX($W$3:$W$34, MATCH(1, (AA286&gt;=$U$3:$U$34) * (AA286&lt;$V$3:$V$34), 0))</f>
        <v>CL-21</v>
      </c>
    </row>
    <row r="287" spans="4:28" ht="18.75" customHeight="1" x14ac:dyDescent="0.25">
      <c r="D287" s="40">
        <v>234</v>
      </c>
      <c r="E287" s="33">
        <v>643.08699999999999</v>
      </c>
      <c r="F287" s="33"/>
      <c r="N287" s="40">
        <v>234</v>
      </c>
      <c r="O287" s="33">
        <f t="shared" si="15"/>
        <v>619.42700000000002</v>
      </c>
      <c r="Q287" s="40">
        <v>234</v>
      </c>
      <c r="R287" s="30" t="str">
        <f t="shared" si="14"/>
        <v>CL-22</v>
      </c>
      <c r="AA287" s="40">
        <v>222</v>
      </c>
      <c r="AB287" s="30" t="str">
        <f t="array" ref="AB287">INDEX($W$3:$W$34, MATCH(1, (AA287&gt;=$U$3:$U$34) * (AA287&lt;$V$3:$V$34), 0))</f>
        <v>CL-21</v>
      </c>
    </row>
    <row r="288" spans="4:28" ht="18.75" customHeight="1" x14ac:dyDescent="0.25">
      <c r="D288" s="40">
        <v>235</v>
      </c>
      <c r="E288" s="33">
        <v>588.23500000000001</v>
      </c>
      <c r="F288" s="33"/>
      <c r="N288" s="40">
        <v>235</v>
      </c>
      <c r="O288" s="33">
        <f t="shared" si="15"/>
        <v>618.774</v>
      </c>
      <c r="Q288" s="40">
        <v>235</v>
      </c>
      <c r="R288" s="30" t="str">
        <f t="shared" si="14"/>
        <v>CL-22</v>
      </c>
      <c r="AA288" s="40">
        <v>223</v>
      </c>
      <c r="AB288" s="30" t="str">
        <f t="array" ref="AB288">INDEX($W$3:$W$34, MATCH(1, (AA288&gt;=$U$3:$U$34) * (AA288&lt;$V$3:$V$34), 0))</f>
        <v>CL-21</v>
      </c>
    </row>
    <row r="289" spans="4:28" ht="18.75" customHeight="1" x14ac:dyDescent="0.25">
      <c r="D289" s="40">
        <v>236</v>
      </c>
      <c r="E289" s="40">
        <v>625</v>
      </c>
      <c r="F289" s="40"/>
      <c r="N289" s="40">
        <v>236</v>
      </c>
      <c r="O289" s="33">
        <f t="shared" si="15"/>
        <v>620.86166666666668</v>
      </c>
      <c r="Q289" s="40">
        <v>236</v>
      </c>
      <c r="R289" s="30" t="str">
        <f t="shared" si="14"/>
        <v>CL-22</v>
      </c>
      <c r="AA289" s="40">
        <v>224</v>
      </c>
      <c r="AB289" s="30" t="str">
        <f t="array" ref="AB289">INDEX($W$3:$W$34, MATCH(1, (AA289&gt;=$U$3:$U$34) * (AA289&lt;$V$3:$V$34), 0))</f>
        <v>CL-21</v>
      </c>
    </row>
    <row r="290" spans="4:28" ht="18.75" customHeight="1" x14ac:dyDescent="0.25">
      <c r="D290" s="40">
        <v>237</v>
      </c>
      <c r="E290" s="33">
        <v>649.35</v>
      </c>
      <c r="F290" s="33"/>
      <c r="N290" s="40">
        <v>237</v>
      </c>
      <c r="O290" s="33">
        <f t="shared" si="15"/>
        <v>644.80533333333335</v>
      </c>
      <c r="Q290" s="40">
        <v>237</v>
      </c>
      <c r="R290" s="30" t="str">
        <f t="shared" si="14"/>
        <v>CL-22</v>
      </c>
      <c r="AA290" s="40">
        <v>225</v>
      </c>
      <c r="AB290" s="30" t="str">
        <f t="array" ref="AB290">INDEX($W$3:$W$34, MATCH(1, (AA290&gt;=$U$3:$U$34) * (AA290&lt;$V$3:$V$34), 0))</f>
        <v>CL-21</v>
      </c>
    </row>
    <row r="291" spans="4:28" ht="18.75" customHeight="1" x14ac:dyDescent="0.25">
      <c r="D291" s="40">
        <v>238</v>
      </c>
      <c r="E291" s="33">
        <v>660.06600000000003</v>
      </c>
      <c r="F291" s="33"/>
      <c r="N291" s="40">
        <v>238</v>
      </c>
      <c r="O291" s="33">
        <f t="shared" si="15"/>
        <v>648.11233333333337</v>
      </c>
      <c r="Q291" s="40">
        <v>238</v>
      </c>
      <c r="R291" s="30" t="str">
        <f t="shared" si="14"/>
        <v>CL-22</v>
      </c>
      <c r="AA291" s="40">
        <v>226</v>
      </c>
      <c r="AB291" s="30" t="str">
        <f t="array" ref="AB291">INDEX($W$3:$W$34, MATCH(1, (AA291&gt;=$U$3:$U$34) * (AA291&lt;$V$3:$V$34), 0))</f>
        <v>CL-21</v>
      </c>
    </row>
    <row r="292" spans="4:28" ht="18.75" customHeight="1" x14ac:dyDescent="0.25">
      <c r="D292" s="33">
        <v>238.5</v>
      </c>
      <c r="E292" s="33">
        <v>634.92100000000005</v>
      </c>
      <c r="F292" s="33"/>
      <c r="N292" s="33">
        <v>238.5</v>
      </c>
      <c r="O292" s="33">
        <f t="shared" si="15"/>
        <v>641.30600000000004</v>
      </c>
      <c r="Q292" s="33">
        <v>238.5</v>
      </c>
      <c r="R292" s="30" t="str">
        <f t="shared" si="14"/>
        <v>CL-22</v>
      </c>
      <c r="AA292" s="40">
        <v>227</v>
      </c>
      <c r="AB292" s="30" t="str">
        <f t="array" ref="AB292">INDEX($W$3:$W$34, MATCH(1, (AA292&gt;=$U$3:$U$34) * (AA292&lt;$V$3:$V$34), 0))</f>
        <v>CL-21</v>
      </c>
    </row>
    <row r="293" spans="4:28" ht="18.75" customHeight="1" x14ac:dyDescent="0.25">
      <c r="D293" s="40">
        <v>239</v>
      </c>
      <c r="E293" s="33">
        <v>628.93100000000004</v>
      </c>
      <c r="F293" s="33"/>
      <c r="N293" s="40">
        <v>239</v>
      </c>
      <c r="O293" s="33">
        <f t="shared" si="15"/>
        <v>629.61733333333336</v>
      </c>
      <c r="Q293" s="40">
        <v>239</v>
      </c>
      <c r="R293" s="30" t="str">
        <f t="shared" si="14"/>
        <v>CL-22</v>
      </c>
      <c r="AA293" s="40">
        <v>228</v>
      </c>
      <c r="AB293" s="30" t="str">
        <f t="array" ref="AB293">INDEX($W$3:$W$34, MATCH(1, (AA293&gt;=$U$3:$U$34) * (AA293&lt;$V$3:$V$34), 0))</f>
        <v>CL-21</v>
      </c>
    </row>
    <row r="294" spans="4:28" ht="18.75" customHeight="1" x14ac:dyDescent="0.25">
      <c r="D294" s="33">
        <v>239.5</v>
      </c>
      <c r="E294" s="40">
        <v>625</v>
      </c>
      <c r="F294" s="40"/>
      <c r="N294" s="33">
        <v>239.5</v>
      </c>
      <c r="O294" s="33">
        <f t="shared" si="15"/>
        <v>619.99733333333336</v>
      </c>
      <c r="Q294" s="33">
        <v>239.5</v>
      </c>
      <c r="R294" s="30" t="str">
        <f t="shared" si="14"/>
        <v>CL-22</v>
      </c>
      <c r="AA294" s="40">
        <v>229</v>
      </c>
      <c r="AB294" s="30" t="str">
        <f t="array" ref="AB294">INDEX($W$3:$W$34, MATCH(1, (AA294&gt;=$U$3:$U$34) * (AA294&lt;$V$3:$V$34), 0))</f>
        <v>CL-21</v>
      </c>
    </row>
    <row r="295" spans="4:28" ht="18.75" customHeight="1" x14ac:dyDescent="0.25">
      <c r="D295" s="40">
        <v>240</v>
      </c>
      <c r="E295" s="33">
        <v>606.06100000000004</v>
      </c>
      <c r="F295" s="33"/>
      <c r="N295" s="40">
        <v>240</v>
      </c>
      <c r="Q295" s="40">
        <v>240</v>
      </c>
      <c r="R295" s="30">
        <f t="shared" si="14"/>
        <v>0</v>
      </c>
      <c r="AA295" s="40">
        <v>230</v>
      </c>
      <c r="AB295" s="30" t="str">
        <f t="array" ref="AB295">INDEX($W$3:$W$34, MATCH(1, (AA295&gt;=$U$3:$U$34) * (AA295&lt;$V$3:$V$34), 0))</f>
        <v>CL-21</v>
      </c>
    </row>
    <row r="296" spans="4:28" ht="18.75" customHeight="1" x14ac:dyDescent="0.25">
      <c r="AA296" s="40">
        <v>231</v>
      </c>
      <c r="AB296" s="30" t="str">
        <f t="array" ref="AB296">INDEX($W$3:$W$34, MATCH(1, (AA296&gt;=$U$3:$U$34) * (AA296&lt;$V$3:$V$34), 0))</f>
        <v>CL-22</v>
      </c>
    </row>
    <row r="297" spans="4:28" ht="18.75" customHeight="1" x14ac:dyDescent="0.25">
      <c r="AA297" s="40">
        <v>232</v>
      </c>
      <c r="AB297" s="30" t="str">
        <f t="array" ref="AB297">INDEX($W$3:$W$34, MATCH(1, (AA297&gt;=$U$3:$U$34) * (AA297&lt;$V$3:$V$34), 0))</f>
        <v>CL-22</v>
      </c>
    </row>
    <row r="298" spans="4:28" ht="18.75" customHeight="1" x14ac:dyDescent="0.25">
      <c r="AA298" s="40">
        <v>233</v>
      </c>
      <c r="AB298" s="30" t="str">
        <f t="array" ref="AB298">INDEX($W$3:$W$34, MATCH(1, (AA298&gt;=$U$3:$U$34) * (AA298&lt;$V$3:$V$34), 0))</f>
        <v>CL-22</v>
      </c>
    </row>
    <row r="299" spans="4:28" ht="18.75" customHeight="1" x14ac:dyDescent="0.25">
      <c r="AA299" s="40">
        <v>234</v>
      </c>
      <c r="AB299" s="30" t="str">
        <f t="array" ref="AB299">INDEX($W$3:$W$34, MATCH(1, (AA299&gt;=$U$3:$U$34) * (AA299&lt;$V$3:$V$34), 0))</f>
        <v>CL-22</v>
      </c>
    </row>
    <row r="300" spans="4:28" ht="18.75" customHeight="1" x14ac:dyDescent="0.25">
      <c r="AA300" s="40">
        <v>235</v>
      </c>
      <c r="AB300" s="30" t="str">
        <f t="array" ref="AB300">INDEX($W$3:$W$34, MATCH(1, (AA300&gt;=$U$3:$U$34) * (AA300&lt;$V$3:$V$34), 0))</f>
        <v>CL-22</v>
      </c>
    </row>
    <row r="301" spans="4:28" ht="18.75" customHeight="1" x14ac:dyDescent="0.25">
      <c r="AA301" s="40">
        <v>236</v>
      </c>
      <c r="AB301" s="30" t="str">
        <f t="array" ref="AB301">INDEX($W$3:$W$34, MATCH(1, (AA301&gt;=$U$3:$U$34) * (AA301&lt;$V$3:$V$34), 0))</f>
        <v>CL-22</v>
      </c>
    </row>
    <row r="302" spans="4:28" ht="18.75" customHeight="1" x14ac:dyDescent="0.25">
      <c r="AA302" s="40">
        <v>237</v>
      </c>
      <c r="AB302" s="30" t="str">
        <f t="array" ref="AB302">INDEX($W$3:$W$34, MATCH(1, (AA302&gt;=$U$3:$U$34) * (AA302&lt;$V$3:$V$34), 0))</f>
        <v>CL-22</v>
      </c>
    </row>
    <row r="303" spans="4:28" ht="18.75" customHeight="1" x14ac:dyDescent="0.25">
      <c r="AA303" s="40">
        <v>238</v>
      </c>
      <c r="AB303" s="30" t="str">
        <f t="array" ref="AB303">INDEX($W$3:$W$34, MATCH(1, (AA303&gt;=$U$3:$U$34) * (AA303&lt;$V$3:$V$34), 0))</f>
        <v>CL-22</v>
      </c>
    </row>
    <row r="304" spans="4:28" ht="18.75" customHeight="1" x14ac:dyDescent="0.25">
      <c r="AA304" s="33">
        <v>238.5</v>
      </c>
      <c r="AB304" s="30" t="str">
        <f t="array" ref="AB304">INDEX($W$3:$W$34, MATCH(1, (AA304&gt;=$U$3:$U$34) * (AA304&lt;$V$3:$V$34), 0))</f>
        <v>CL-22</v>
      </c>
    </row>
    <row r="305" spans="27:28" ht="18.75" customHeight="1" x14ac:dyDescent="0.25">
      <c r="AA305" s="40">
        <v>239</v>
      </c>
      <c r="AB305" s="30" t="str">
        <f t="array" ref="AB305">INDEX($W$3:$W$34, MATCH(1, (AA305&gt;=$U$3:$U$34) * (AA305&lt;$V$3:$V$34), 0))</f>
        <v>CL-22</v>
      </c>
    </row>
    <row r="306" spans="27:28" ht="18.75" customHeight="1" x14ac:dyDescent="0.25">
      <c r="AA306" s="33">
        <v>239.5</v>
      </c>
      <c r="AB306" s="30" t="str">
        <f t="array" ref="AB306">INDEX($W$3:$W$34, MATCH(1, (AA306&gt;=$U$3:$U$34) * (AA306&lt;$V$3:$V$34), 0))</f>
        <v>CL-22</v>
      </c>
    </row>
    <row r="307" spans="27:28" ht="18.75" customHeight="1" x14ac:dyDescent="0.25">
      <c r="AA307" s="40">
        <v>240</v>
      </c>
    </row>
  </sheetData>
  <mergeCells count="6">
    <mergeCell ref="Q1:R1"/>
    <mergeCell ref="T1:Y1"/>
    <mergeCell ref="K1:L1"/>
    <mergeCell ref="A1:I1"/>
    <mergeCell ref="AA1:AB1"/>
    <mergeCell ref="N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0"/>
  <sheetViews>
    <sheetView tabSelected="1" topLeftCell="A116" workbookViewId="0">
      <selection activeCell="K118" sqref="K118:K310"/>
    </sheetView>
  </sheetViews>
  <sheetFormatPr defaultColWidth="8.85546875" defaultRowHeight="15" x14ac:dyDescent="0.25"/>
  <cols>
    <col min="9" max="9" width="14.42578125" bestFit="1" customWidth="1"/>
    <col min="10" max="10" width="9.140625" bestFit="1" customWidth="1"/>
    <col min="11" max="11" width="1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354</v>
      </c>
      <c r="K1" t="s">
        <v>355</v>
      </c>
    </row>
    <row r="2" spans="1:11" x14ac:dyDescent="0.25">
      <c r="A2">
        <v>1</v>
      </c>
      <c r="B2">
        <v>0.75</v>
      </c>
      <c r="C2">
        <v>1.5</v>
      </c>
      <c r="D2">
        <v>19</v>
      </c>
      <c r="E2">
        <v>5</v>
      </c>
      <c r="F2">
        <v>25</v>
      </c>
      <c r="G2">
        <v>147.601</v>
      </c>
      <c r="H2">
        <v>1.3502755490018381</v>
      </c>
      <c r="I2">
        <v>1.6791008927155191</v>
      </c>
      <c r="J2">
        <f>50</f>
        <v>50</v>
      </c>
      <c r="K2">
        <f>0.2</f>
        <v>0.2</v>
      </c>
    </row>
    <row r="3" spans="1:11" x14ac:dyDescent="0.25">
      <c r="A3">
        <v>2</v>
      </c>
      <c r="B3">
        <v>2</v>
      </c>
      <c r="C3">
        <v>1</v>
      </c>
      <c r="D3">
        <v>19</v>
      </c>
      <c r="E3">
        <v>20</v>
      </c>
      <c r="F3">
        <v>25</v>
      </c>
      <c r="G3">
        <v>147.601</v>
      </c>
      <c r="H3">
        <v>1.625471992053557</v>
      </c>
      <c r="I3">
        <v>2.0213144457505718</v>
      </c>
      <c r="J3">
        <f>50</f>
        <v>50</v>
      </c>
      <c r="K3">
        <f t="shared" ref="K3:K33" si="0">0.2</f>
        <v>0.2</v>
      </c>
    </row>
    <row r="4" spans="1:11" x14ac:dyDescent="0.25">
      <c r="A4">
        <v>3</v>
      </c>
      <c r="B4">
        <v>3</v>
      </c>
      <c r="C4">
        <v>1</v>
      </c>
      <c r="D4">
        <v>19</v>
      </c>
      <c r="E4">
        <v>5</v>
      </c>
      <c r="F4">
        <v>50</v>
      </c>
      <c r="G4">
        <v>147.601</v>
      </c>
      <c r="H4">
        <v>1.1034723044453369</v>
      </c>
      <c r="I4">
        <v>1.3721949811286209</v>
      </c>
      <c r="J4">
        <f>50</f>
        <v>50</v>
      </c>
      <c r="K4">
        <f t="shared" si="0"/>
        <v>0.2</v>
      </c>
    </row>
    <row r="5" spans="1:11" x14ac:dyDescent="0.25">
      <c r="A5">
        <v>4</v>
      </c>
      <c r="B5">
        <v>4</v>
      </c>
      <c r="C5">
        <v>1</v>
      </c>
      <c r="D5">
        <v>19</v>
      </c>
      <c r="E5">
        <v>5</v>
      </c>
      <c r="F5">
        <v>50</v>
      </c>
      <c r="G5">
        <v>147.601</v>
      </c>
      <c r="H5">
        <v>1.1034723044453369</v>
      </c>
      <c r="I5">
        <v>1.3721949811286209</v>
      </c>
      <c r="J5">
        <f>50</f>
        <v>50</v>
      </c>
      <c r="K5">
        <f t="shared" si="0"/>
        <v>0.2</v>
      </c>
    </row>
    <row r="6" spans="1:11" x14ac:dyDescent="0.25">
      <c r="A6">
        <v>5</v>
      </c>
      <c r="B6">
        <v>5.25</v>
      </c>
      <c r="C6">
        <v>1.5</v>
      </c>
      <c r="D6">
        <v>19</v>
      </c>
      <c r="E6">
        <v>5</v>
      </c>
      <c r="F6">
        <v>100</v>
      </c>
      <c r="G6">
        <v>147.601</v>
      </c>
      <c r="H6">
        <v>0.90182989449326367</v>
      </c>
      <c r="I6">
        <v>1.121447679357422</v>
      </c>
      <c r="J6">
        <f>50</f>
        <v>50</v>
      </c>
      <c r="K6">
        <f t="shared" si="0"/>
        <v>0.2</v>
      </c>
    </row>
    <row r="7" spans="1:11" x14ac:dyDescent="0.25">
      <c r="A7">
        <v>6</v>
      </c>
      <c r="B7">
        <v>8.75</v>
      </c>
      <c r="C7">
        <v>5.5</v>
      </c>
      <c r="D7">
        <v>19</v>
      </c>
      <c r="E7">
        <v>20</v>
      </c>
      <c r="F7">
        <v>100</v>
      </c>
      <c r="G7">
        <v>163.7498181818182</v>
      </c>
      <c r="H7">
        <v>1.086967679435618</v>
      </c>
      <c r="I7">
        <v>1.351671073539358</v>
      </c>
      <c r="J7">
        <f>50</f>
        <v>50</v>
      </c>
      <c r="K7">
        <f t="shared" si="0"/>
        <v>0.2</v>
      </c>
    </row>
    <row r="8" spans="1:11" x14ac:dyDescent="0.25">
      <c r="A8">
        <v>7</v>
      </c>
      <c r="B8">
        <v>13.25</v>
      </c>
      <c r="C8">
        <v>3.5</v>
      </c>
      <c r="D8">
        <v>19</v>
      </c>
      <c r="E8">
        <v>5</v>
      </c>
      <c r="F8">
        <v>100</v>
      </c>
      <c r="G8">
        <v>194.77128571428571</v>
      </c>
      <c r="H8">
        <v>0.90182989449326367</v>
      </c>
      <c r="I8">
        <v>1.121447679357422</v>
      </c>
      <c r="J8">
        <f>50</f>
        <v>50</v>
      </c>
      <c r="K8">
        <f t="shared" si="0"/>
        <v>0.2</v>
      </c>
    </row>
    <row r="9" spans="1:11" x14ac:dyDescent="0.25">
      <c r="A9">
        <v>8</v>
      </c>
      <c r="B9">
        <v>16.75</v>
      </c>
      <c r="C9">
        <v>3.5</v>
      </c>
      <c r="D9">
        <v>19</v>
      </c>
      <c r="E9">
        <v>5</v>
      </c>
      <c r="F9">
        <v>100</v>
      </c>
      <c r="G9">
        <v>254.20914285714281</v>
      </c>
      <c r="H9">
        <v>0.90182989449326367</v>
      </c>
      <c r="I9">
        <v>1.121447679357422</v>
      </c>
      <c r="J9">
        <f>50</f>
        <v>50</v>
      </c>
      <c r="K9">
        <f t="shared" si="0"/>
        <v>0.2</v>
      </c>
    </row>
    <row r="10" spans="1:11" x14ac:dyDescent="0.25">
      <c r="A10">
        <v>9</v>
      </c>
      <c r="B10">
        <v>19.75</v>
      </c>
      <c r="C10">
        <v>2.5</v>
      </c>
      <c r="D10">
        <v>19</v>
      </c>
      <c r="E10">
        <v>20</v>
      </c>
      <c r="F10">
        <v>200</v>
      </c>
      <c r="G10">
        <v>253.2722</v>
      </c>
      <c r="H10">
        <v>0.88891040762680495</v>
      </c>
      <c r="I10">
        <v>1.1053819793253561</v>
      </c>
      <c r="J10">
        <f>50</f>
        <v>50</v>
      </c>
      <c r="K10">
        <f t="shared" si="0"/>
        <v>0.2</v>
      </c>
    </row>
    <row r="11" spans="1:11" x14ac:dyDescent="0.25">
      <c r="A11">
        <v>10</v>
      </c>
      <c r="B11">
        <v>22.5</v>
      </c>
      <c r="C11">
        <v>3</v>
      </c>
      <c r="D11">
        <v>19</v>
      </c>
      <c r="E11">
        <v>5</v>
      </c>
      <c r="F11">
        <v>200</v>
      </c>
      <c r="G11">
        <v>280.43566666666669</v>
      </c>
      <c r="H11">
        <v>0.73707509749801592</v>
      </c>
      <c r="I11">
        <v>0.91657103257344974</v>
      </c>
      <c r="J11">
        <f>50</f>
        <v>50</v>
      </c>
      <c r="K11">
        <f t="shared" si="0"/>
        <v>0.2</v>
      </c>
    </row>
    <row r="12" spans="1:11" x14ac:dyDescent="0.25">
      <c r="A12">
        <v>11</v>
      </c>
      <c r="B12">
        <v>27</v>
      </c>
      <c r="C12">
        <v>6</v>
      </c>
      <c r="D12">
        <v>19</v>
      </c>
      <c r="E12">
        <v>5</v>
      </c>
      <c r="F12">
        <v>200</v>
      </c>
      <c r="G12">
        <v>256.10758333333342</v>
      </c>
      <c r="H12">
        <v>0.73707509749801592</v>
      </c>
      <c r="I12">
        <v>0.91657103257344974</v>
      </c>
      <c r="J12">
        <f>50</f>
        <v>50</v>
      </c>
      <c r="K12">
        <f t="shared" si="0"/>
        <v>0.2</v>
      </c>
    </row>
    <row r="13" spans="1:11" x14ac:dyDescent="0.25">
      <c r="A13">
        <v>12</v>
      </c>
      <c r="B13">
        <v>33</v>
      </c>
      <c r="C13">
        <v>6</v>
      </c>
      <c r="D13">
        <v>19</v>
      </c>
      <c r="E13">
        <v>5</v>
      </c>
      <c r="F13">
        <v>200</v>
      </c>
      <c r="G13">
        <v>252.1049166666667</v>
      </c>
      <c r="H13">
        <v>0.73707509749801592</v>
      </c>
      <c r="I13">
        <v>0.91657103257344974</v>
      </c>
      <c r="J13">
        <f>50</f>
        <v>50</v>
      </c>
      <c r="K13">
        <f t="shared" si="0"/>
        <v>0.2</v>
      </c>
    </row>
    <row r="14" spans="1:11" x14ac:dyDescent="0.25">
      <c r="A14">
        <v>13</v>
      </c>
      <c r="B14">
        <v>42</v>
      </c>
      <c r="C14">
        <v>12</v>
      </c>
      <c r="D14">
        <v>19</v>
      </c>
      <c r="E14">
        <v>20</v>
      </c>
      <c r="F14">
        <v>200</v>
      </c>
      <c r="G14">
        <v>229.08674999999999</v>
      </c>
      <c r="H14">
        <v>0.88891040762680495</v>
      </c>
      <c r="I14">
        <v>1.1053819793253561</v>
      </c>
      <c r="J14">
        <f>50</f>
        <v>50</v>
      </c>
      <c r="K14">
        <f t="shared" si="0"/>
        <v>0.2</v>
      </c>
    </row>
    <row r="15" spans="1:11" x14ac:dyDescent="0.25">
      <c r="A15">
        <v>14</v>
      </c>
      <c r="B15">
        <v>54.25</v>
      </c>
      <c r="C15">
        <v>12.5</v>
      </c>
      <c r="D15">
        <v>19</v>
      </c>
      <c r="E15">
        <v>5</v>
      </c>
      <c r="F15">
        <v>400</v>
      </c>
      <c r="G15">
        <v>284.23284000000001</v>
      </c>
      <c r="H15">
        <v>0.60245189747722905</v>
      </c>
      <c r="I15">
        <v>0.74916376855076727</v>
      </c>
      <c r="J15">
        <f>50</f>
        <v>50</v>
      </c>
      <c r="K15">
        <f t="shared" si="0"/>
        <v>0.2</v>
      </c>
    </row>
    <row r="16" spans="1:11" x14ac:dyDescent="0.25">
      <c r="A16">
        <v>15</v>
      </c>
      <c r="B16">
        <v>65.5</v>
      </c>
      <c r="C16">
        <v>10</v>
      </c>
      <c r="D16">
        <v>19</v>
      </c>
      <c r="E16">
        <v>20</v>
      </c>
      <c r="F16">
        <v>400</v>
      </c>
      <c r="G16">
        <v>336.60216666666668</v>
      </c>
      <c r="H16">
        <v>0.72696597148430075</v>
      </c>
      <c r="I16">
        <v>0.90400008546065425</v>
      </c>
      <c r="J16">
        <f>50</f>
        <v>50</v>
      </c>
      <c r="K16">
        <f t="shared" si="0"/>
        <v>0.2</v>
      </c>
    </row>
    <row r="17" spans="1:11" x14ac:dyDescent="0.25">
      <c r="A17">
        <v>16</v>
      </c>
      <c r="B17">
        <v>75.5</v>
      </c>
      <c r="C17">
        <v>10</v>
      </c>
      <c r="D17">
        <v>19</v>
      </c>
      <c r="E17">
        <v>20</v>
      </c>
      <c r="F17">
        <v>400</v>
      </c>
      <c r="G17">
        <v>345.52519999999998</v>
      </c>
      <c r="H17">
        <v>0.72696597148430075</v>
      </c>
      <c r="I17">
        <v>0.90400008546065425</v>
      </c>
      <c r="J17">
        <f>50</f>
        <v>50</v>
      </c>
      <c r="K17">
        <f t="shared" si="0"/>
        <v>0.2</v>
      </c>
    </row>
    <row r="18" spans="1:11" x14ac:dyDescent="0.25">
      <c r="A18">
        <v>17</v>
      </c>
      <c r="B18">
        <v>85.5</v>
      </c>
      <c r="C18">
        <v>10</v>
      </c>
      <c r="D18">
        <v>19</v>
      </c>
      <c r="E18">
        <v>20</v>
      </c>
      <c r="F18">
        <v>400</v>
      </c>
      <c r="G18">
        <v>330.69930000000011</v>
      </c>
      <c r="H18">
        <v>0.72696597148430075</v>
      </c>
      <c r="I18">
        <v>0.90400008546065425</v>
      </c>
      <c r="J18">
        <f>50</f>
        <v>50</v>
      </c>
      <c r="K18">
        <f t="shared" si="0"/>
        <v>0.2</v>
      </c>
    </row>
    <row r="19" spans="1:11" x14ac:dyDescent="0.25">
      <c r="A19">
        <v>18</v>
      </c>
      <c r="B19">
        <v>95.5</v>
      </c>
      <c r="C19">
        <v>10</v>
      </c>
      <c r="D19">
        <v>19</v>
      </c>
      <c r="E19">
        <v>20</v>
      </c>
      <c r="F19">
        <v>800</v>
      </c>
      <c r="G19">
        <v>401.21390000000002</v>
      </c>
      <c r="H19">
        <v>0.594544707891972</v>
      </c>
      <c r="I19">
        <v>0.73933098360454597</v>
      </c>
      <c r="J19">
        <f>50</f>
        <v>50</v>
      </c>
      <c r="K19">
        <f t="shared" si="0"/>
        <v>0.2</v>
      </c>
    </row>
    <row r="20" spans="1:11" x14ac:dyDescent="0.25">
      <c r="A20">
        <v>19</v>
      </c>
      <c r="B20">
        <v>105.5</v>
      </c>
      <c r="C20">
        <v>10</v>
      </c>
      <c r="D20">
        <v>19</v>
      </c>
      <c r="E20">
        <v>20</v>
      </c>
      <c r="F20">
        <v>800</v>
      </c>
      <c r="G20">
        <v>416.64722222222218</v>
      </c>
      <c r="H20">
        <v>0.594544707891972</v>
      </c>
      <c r="I20">
        <v>0.73933098360454597</v>
      </c>
      <c r="J20">
        <f>50</f>
        <v>50</v>
      </c>
      <c r="K20">
        <f t="shared" si="0"/>
        <v>0.2</v>
      </c>
    </row>
    <row r="21" spans="1:11" x14ac:dyDescent="0.25">
      <c r="A21">
        <v>20</v>
      </c>
      <c r="B21">
        <v>115.5</v>
      </c>
      <c r="C21">
        <v>10</v>
      </c>
      <c r="D21">
        <v>19</v>
      </c>
      <c r="E21">
        <v>20</v>
      </c>
      <c r="F21">
        <v>800</v>
      </c>
      <c r="G21">
        <v>390.74349999999998</v>
      </c>
      <c r="H21">
        <v>0.594544707891972</v>
      </c>
      <c r="I21">
        <v>0.73933098360454597</v>
      </c>
      <c r="J21">
        <f>50</f>
        <v>50</v>
      </c>
      <c r="K21">
        <f t="shared" si="0"/>
        <v>0.2</v>
      </c>
    </row>
    <row r="22" spans="1:11" x14ac:dyDescent="0.25">
      <c r="A22">
        <v>21</v>
      </c>
      <c r="B22">
        <v>125.5</v>
      </c>
      <c r="C22">
        <v>10</v>
      </c>
      <c r="D22">
        <v>19</v>
      </c>
      <c r="E22">
        <v>20</v>
      </c>
      <c r="F22">
        <v>800</v>
      </c>
      <c r="G22">
        <v>447.57044444444438</v>
      </c>
      <c r="H22">
        <v>0.594544707891972</v>
      </c>
      <c r="I22">
        <v>0.73933098360454597</v>
      </c>
      <c r="J22">
        <f>50</f>
        <v>50</v>
      </c>
      <c r="K22">
        <f t="shared" si="0"/>
        <v>0.2</v>
      </c>
    </row>
    <row r="23" spans="1:11" x14ac:dyDescent="0.25">
      <c r="A23">
        <v>22</v>
      </c>
      <c r="B23">
        <v>135.5</v>
      </c>
      <c r="C23">
        <v>10</v>
      </c>
      <c r="D23">
        <v>19</v>
      </c>
      <c r="E23">
        <v>20</v>
      </c>
      <c r="F23">
        <v>800</v>
      </c>
      <c r="G23">
        <v>408.6927</v>
      </c>
      <c r="H23">
        <v>0.594544707891972</v>
      </c>
      <c r="I23">
        <v>0.73933098360454597</v>
      </c>
      <c r="J23">
        <f>50</f>
        <v>50</v>
      </c>
      <c r="K23">
        <f t="shared" si="0"/>
        <v>0.2</v>
      </c>
    </row>
    <row r="24" spans="1:11" x14ac:dyDescent="0.25">
      <c r="A24">
        <v>23</v>
      </c>
      <c r="B24">
        <v>145.5</v>
      </c>
      <c r="C24">
        <v>10</v>
      </c>
      <c r="D24">
        <v>19</v>
      </c>
      <c r="E24">
        <v>20</v>
      </c>
      <c r="F24">
        <v>1000</v>
      </c>
      <c r="G24">
        <v>392.07549999999998</v>
      </c>
      <c r="H24">
        <v>0.55728026658155749</v>
      </c>
      <c r="I24">
        <v>0.69299173328107222</v>
      </c>
      <c r="J24">
        <f>50</f>
        <v>50</v>
      </c>
      <c r="K24">
        <f t="shared" si="0"/>
        <v>0.2</v>
      </c>
    </row>
    <row r="25" spans="1:11" x14ac:dyDescent="0.25">
      <c r="A25">
        <v>24</v>
      </c>
      <c r="B25">
        <v>155.5</v>
      </c>
      <c r="C25">
        <v>10</v>
      </c>
      <c r="D25">
        <v>19</v>
      </c>
      <c r="E25">
        <v>20</v>
      </c>
      <c r="F25">
        <v>1000</v>
      </c>
      <c r="G25">
        <v>543.87430000000006</v>
      </c>
      <c r="H25">
        <v>0.55728026658155749</v>
      </c>
      <c r="I25">
        <v>0.69299173328107222</v>
      </c>
      <c r="J25">
        <f>50</f>
        <v>50</v>
      </c>
      <c r="K25">
        <f t="shared" si="0"/>
        <v>0.2</v>
      </c>
    </row>
    <row r="26" spans="1:11" x14ac:dyDescent="0.25">
      <c r="A26">
        <v>25</v>
      </c>
      <c r="B26">
        <v>165.5</v>
      </c>
      <c r="C26">
        <v>10</v>
      </c>
      <c r="D26">
        <v>19</v>
      </c>
      <c r="E26">
        <v>20</v>
      </c>
      <c r="F26">
        <v>1000</v>
      </c>
      <c r="G26">
        <v>481.63619999999997</v>
      </c>
      <c r="H26">
        <v>0.55728026658155749</v>
      </c>
      <c r="I26">
        <v>0.69299173328107222</v>
      </c>
      <c r="J26">
        <f>50</f>
        <v>50</v>
      </c>
      <c r="K26">
        <f t="shared" si="0"/>
        <v>0.2</v>
      </c>
    </row>
    <row r="27" spans="1:11" x14ac:dyDescent="0.25">
      <c r="A27">
        <v>26</v>
      </c>
      <c r="B27">
        <v>175.5</v>
      </c>
      <c r="C27">
        <v>10</v>
      </c>
      <c r="D27">
        <v>19</v>
      </c>
      <c r="E27">
        <v>20</v>
      </c>
      <c r="F27">
        <v>1000</v>
      </c>
      <c r="G27">
        <v>535.28859999999997</v>
      </c>
      <c r="H27">
        <v>0.55728026658155749</v>
      </c>
      <c r="I27">
        <v>0.69299173328107222</v>
      </c>
      <c r="J27">
        <f>50</f>
        <v>50</v>
      </c>
      <c r="K27">
        <f t="shared" si="0"/>
        <v>0.2</v>
      </c>
    </row>
    <row r="28" spans="1:11" x14ac:dyDescent="0.25">
      <c r="A28">
        <v>27</v>
      </c>
      <c r="B28">
        <v>185.5</v>
      </c>
      <c r="C28">
        <v>10</v>
      </c>
      <c r="D28">
        <v>19</v>
      </c>
      <c r="E28">
        <v>20</v>
      </c>
      <c r="F28">
        <v>1000</v>
      </c>
      <c r="G28">
        <v>572.80110000000002</v>
      </c>
      <c r="H28">
        <v>0.55728026658155749</v>
      </c>
      <c r="I28">
        <v>0.69299173328107222</v>
      </c>
      <c r="J28">
        <f>50</f>
        <v>50</v>
      </c>
      <c r="K28">
        <f t="shared" si="0"/>
        <v>0.2</v>
      </c>
    </row>
    <row r="29" spans="1:11" x14ac:dyDescent="0.25">
      <c r="A29">
        <v>28</v>
      </c>
      <c r="B29">
        <v>195.5</v>
      </c>
      <c r="C29">
        <v>10</v>
      </c>
      <c r="D29">
        <v>19</v>
      </c>
      <c r="E29">
        <v>20</v>
      </c>
      <c r="F29">
        <v>1000</v>
      </c>
      <c r="G29">
        <v>479.34545454545457</v>
      </c>
      <c r="H29">
        <v>0.55728026658155749</v>
      </c>
      <c r="I29">
        <v>0.69299173328107222</v>
      </c>
      <c r="J29">
        <f>50</f>
        <v>50</v>
      </c>
      <c r="K29">
        <f t="shared" si="0"/>
        <v>0.2</v>
      </c>
    </row>
    <row r="30" spans="1:11" x14ac:dyDescent="0.25">
      <c r="A30">
        <v>29</v>
      </c>
      <c r="B30">
        <v>205.5</v>
      </c>
      <c r="C30">
        <v>10</v>
      </c>
      <c r="D30">
        <v>19</v>
      </c>
      <c r="E30">
        <v>20</v>
      </c>
      <c r="F30">
        <v>1000</v>
      </c>
      <c r="G30">
        <v>471.125</v>
      </c>
      <c r="H30">
        <v>0.55728026658155749</v>
      </c>
      <c r="I30">
        <v>0.69299173328107222</v>
      </c>
      <c r="J30">
        <f>50</f>
        <v>50</v>
      </c>
      <c r="K30">
        <f t="shared" si="0"/>
        <v>0.2</v>
      </c>
    </row>
    <row r="31" spans="1:11" x14ac:dyDescent="0.25">
      <c r="A31">
        <v>30</v>
      </c>
      <c r="B31">
        <v>215.5</v>
      </c>
      <c r="C31">
        <v>10</v>
      </c>
      <c r="D31">
        <v>19</v>
      </c>
      <c r="E31">
        <v>20</v>
      </c>
      <c r="F31">
        <v>1000</v>
      </c>
      <c r="G31">
        <v>568.93466666666654</v>
      </c>
      <c r="H31">
        <v>0.55728026658155749</v>
      </c>
      <c r="I31">
        <v>0.69299173328107222</v>
      </c>
      <c r="J31">
        <f>50</f>
        <v>50</v>
      </c>
      <c r="K31">
        <f t="shared" si="0"/>
        <v>0.2</v>
      </c>
    </row>
    <row r="32" spans="1:11" x14ac:dyDescent="0.25">
      <c r="A32">
        <v>31</v>
      </c>
      <c r="B32">
        <v>225.5</v>
      </c>
      <c r="C32">
        <v>10</v>
      </c>
      <c r="D32">
        <v>19</v>
      </c>
      <c r="E32">
        <v>20</v>
      </c>
      <c r="F32">
        <v>1000</v>
      </c>
      <c r="G32">
        <v>685.59800000000018</v>
      </c>
      <c r="H32">
        <v>0.55728026658155749</v>
      </c>
      <c r="I32">
        <v>0.69299173328107222</v>
      </c>
      <c r="J32">
        <f>50</f>
        <v>50</v>
      </c>
      <c r="K32">
        <f t="shared" si="0"/>
        <v>0.2</v>
      </c>
    </row>
    <row r="33" spans="1:11" x14ac:dyDescent="0.25">
      <c r="A33">
        <v>32</v>
      </c>
      <c r="B33">
        <v>235.25</v>
      </c>
      <c r="C33">
        <v>9.5</v>
      </c>
      <c r="D33">
        <v>19</v>
      </c>
      <c r="E33">
        <v>20</v>
      </c>
      <c r="F33">
        <v>1000</v>
      </c>
      <c r="G33">
        <v>635.83345454545452</v>
      </c>
      <c r="H33">
        <v>0.55728026658155749</v>
      </c>
      <c r="I33">
        <v>0.69299173328107222</v>
      </c>
      <c r="J33">
        <f>50</f>
        <v>50</v>
      </c>
      <c r="K33">
        <f t="shared" si="0"/>
        <v>0.2</v>
      </c>
    </row>
    <row r="34" spans="1:11" x14ac:dyDescent="0.25">
      <c r="A34">
        <v>33</v>
      </c>
      <c r="B34">
        <v>245</v>
      </c>
      <c r="C34">
        <v>10</v>
      </c>
      <c r="D34">
        <v>21</v>
      </c>
      <c r="E34">
        <v>5</v>
      </c>
      <c r="F34">
        <v>2000</v>
      </c>
      <c r="G34">
        <v>639.74268440873846</v>
      </c>
      <c r="H34">
        <v>0.37725414271959612</v>
      </c>
      <c r="I34">
        <v>0.46912481551588781</v>
      </c>
      <c r="J34">
        <f>50</f>
        <v>50</v>
      </c>
      <c r="K34">
        <v>0.6</v>
      </c>
    </row>
    <row r="35" spans="1:11" x14ac:dyDescent="0.25">
      <c r="A35">
        <v>34</v>
      </c>
      <c r="B35">
        <v>255</v>
      </c>
      <c r="C35">
        <v>10</v>
      </c>
      <c r="D35">
        <v>21</v>
      </c>
      <c r="E35">
        <v>5</v>
      </c>
      <c r="F35">
        <v>2000</v>
      </c>
      <c r="G35">
        <v>643.75215093518364</v>
      </c>
      <c r="H35">
        <v>0.37725414271959612</v>
      </c>
      <c r="I35">
        <v>0.46912481551588781</v>
      </c>
      <c r="J35">
        <f>50</f>
        <v>50</v>
      </c>
      <c r="K35">
        <v>0.6</v>
      </c>
    </row>
    <row r="36" spans="1:11" x14ac:dyDescent="0.25">
      <c r="A36">
        <v>35</v>
      </c>
      <c r="B36">
        <v>265</v>
      </c>
      <c r="C36">
        <v>10</v>
      </c>
      <c r="D36">
        <v>21</v>
      </c>
      <c r="E36">
        <v>5</v>
      </c>
      <c r="F36">
        <v>2000</v>
      </c>
      <c r="G36">
        <v>647.7616174616287</v>
      </c>
      <c r="H36">
        <v>0.37725414271959612</v>
      </c>
      <c r="I36">
        <v>0.46912481551588781</v>
      </c>
      <c r="J36">
        <f>50</f>
        <v>50</v>
      </c>
      <c r="K36">
        <v>0.6</v>
      </c>
    </row>
    <row r="37" spans="1:11" x14ac:dyDescent="0.25">
      <c r="A37">
        <v>36</v>
      </c>
      <c r="B37">
        <v>275</v>
      </c>
      <c r="C37">
        <v>10</v>
      </c>
      <c r="D37">
        <v>21</v>
      </c>
      <c r="E37">
        <v>5</v>
      </c>
      <c r="F37">
        <v>2000</v>
      </c>
      <c r="G37">
        <v>651.77108398807388</v>
      </c>
      <c r="H37">
        <v>0.37725414271959612</v>
      </c>
      <c r="I37">
        <v>0.46912481551588781</v>
      </c>
      <c r="J37">
        <f>50</f>
        <v>50</v>
      </c>
      <c r="K37">
        <v>0.6</v>
      </c>
    </row>
    <row r="38" spans="1:11" x14ac:dyDescent="0.25">
      <c r="A38">
        <v>37</v>
      </c>
      <c r="B38">
        <v>285</v>
      </c>
      <c r="C38">
        <v>10</v>
      </c>
      <c r="D38">
        <v>21</v>
      </c>
      <c r="E38">
        <v>5</v>
      </c>
      <c r="F38">
        <v>2000</v>
      </c>
      <c r="G38">
        <v>655.78055051451895</v>
      </c>
      <c r="H38">
        <v>0.37725414271959612</v>
      </c>
      <c r="I38">
        <v>0.46912481551588781</v>
      </c>
      <c r="J38">
        <f>50</f>
        <v>50</v>
      </c>
      <c r="K38">
        <v>0.6</v>
      </c>
    </row>
    <row r="39" spans="1:11" x14ac:dyDescent="0.25">
      <c r="A39">
        <v>38</v>
      </c>
      <c r="B39">
        <v>295</v>
      </c>
      <c r="C39">
        <v>10</v>
      </c>
      <c r="D39">
        <v>21</v>
      </c>
      <c r="E39">
        <v>5</v>
      </c>
      <c r="F39">
        <v>2000</v>
      </c>
      <c r="G39">
        <v>659.79001704096413</v>
      </c>
      <c r="H39">
        <v>0.37725414271959612</v>
      </c>
      <c r="I39">
        <v>0.46912481551588781</v>
      </c>
      <c r="J39">
        <f>50</f>
        <v>50</v>
      </c>
      <c r="K39">
        <v>0.6</v>
      </c>
    </row>
    <row r="40" spans="1:11" x14ac:dyDescent="0.25">
      <c r="A40">
        <v>39</v>
      </c>
      <c r="B40">
        <v>305</v>
      </c>
      <c r="C40">
        <v>10</v>
      </c>
      <c r="D40">
        <v>21</v>
      </c>
      <c r="E40">
        <v>5</v>
      </c>
      <c r="F40">
        <v>2000</v>
      </c>
      <c r="G40">
        <v>663.7994835674092</v>
      </c>
      <c r="H40">
        <v>0.37725414271959612</v>
      </c>
      <c r="I40">
        <v>0.46912481551588781</v>
      </c>
      <c r="J40">
        <f>50</f>
        <v>50</v>
      </c>
      <c r="K40">
        <v>0.6</v>
      </c>
    </row>
    <row r="41" spans="1:11" x14ac:dyDescent="0.25">
      <c r="A41">
        <v>40</v>
      </c>
      <c r="B41">
        <v>315</v>
      </c>
      <c r="C41">
        <v>10</v>
      </c>
      <c r="D41">
        <v>21</v>
      </c>
      <c r="E41">
        <v>5</v>
      </c>
      <c r="F41">
        <v>2000</v>
      </c>
      <c r="G41">
        <v>667.80895009385426</v>
      </c>
      <c r="H41">
        <v>0.37725414271959612</v>
      </c>
      <c r="I41">
        <v>0.46912481551588781</v>
      </c>
      <c r="J41">
        <f>50</f>
        <v>50</v>
      </c>
      <c r="K41">
        <v>0.6</v>
      </c>
    </row>
    <row r="42" spans="1:11" x14ac:dyDescent="0.25">
      <c r="A42">
        <v>41</v>
      </c>
      <c r="B42">
        <v>325</v>
      </c>
      <c r="C42">
        <v>10</v>
      </c>
      <c r="D42">
        <v>21</v>
      </c>
      <c r="E42">
        <v>5</v>
      </c>
      <c r="F42">
        <v>2000</v>
      </c>
      <c r="G42">
        <v>671.81841662029944</v>
      </c>
      <c r="H42">
        <v>0.37725414271959612</v>
      </c>
      <c r="I42">
        <v>0.46912481551588781</v>
      </c>
      <c r="J42">
        <f>50</f>
        <v>50</v>
      </c>
      <c r="K42">
        <v>0.6</v>
      </c>
    </row>
    <row r="43" spans="1:11" x14ac:dyDescent="0.25">
      <c r="A43">
        <v>42</v>
      </c>
      <c r="B43">
        <v>335</v>
      </c>
      <c r="C43">
        <v>10</v>
      </c>
      <c r="D43">
        <v>21</v>
      </c>
      <c r="E43">
        <v>5</v>
      </c>
      <c r="F43">
        <v>2000</v>
      </c>
      <c r="G43">
        <v>675.82788314674451</v>
      </c>
      <c r="H43">
        <v>0.37725414271959612</v>
      </c>
      <c r="I43">
        <v>0.46912481551588781</v>
      </c>
      <c r="J43">
        <f>50</f>
        <v>50</v>
      </c>
      <c r="K43">
        <v>0.6</v>
      </c>
    </row>
    <row r="44" spans="1:11" x14ac:dyDescent="0.25">
      <c r="A44">
        <v>43</v>
      </c>
      <c r="B44">
        <v>345</v>
      </c>
      <c r="C44">
        <v>10</v>
      </c>
      <c r="D44">
        <v>21</v>
      </c>
      <c r="E44">
        <v>5</v>
      </c>
      <c r="F44">
        <v>2000</v>
      </c>
      <c r="G44">
        <v>679.83734967318969</v>
      </c>
      <c r="H44">
        <v>0.37725414271959612</v>
      </c>
      <c r="I44">
        <v>0.46912481551588781</v>
      </c>
      <c r="J44">
        <f>50</f>
        <v>50</v>
      </c>
      <c r="K44">
        <v>0.6</v>
      </c>
    </row>
    <row r="45" spans="1:11" x14ac:dyDescent="0.25">
      <c r="A45">
        <v>44</v>
      </c>
      <c r="B45">
        <v>355</v>
      </c>
      <c r="C45">
        <v>10</v>
      </c>
      <c r="D45">
        <v>21</v>
      </c>
      <c r="E45">
        <v>5</v>
      </c>
      <c r="F45">
        <v>2000</v>
      </c>
      <c r="G45">
        <v>683.84681619963476</v>
      </c>
      <c r="H45">
        <v>0.37725414271959612</v>
      </c>
      <c r="I45">
        <v>0.46912481551588781</v>
      </c>
      <c r="J45">
        <f>50</f>
        <v>50</v>
      </c>
      <c r="K45">
        <v>0.6</v>
      </c>
    </row>
    <row r="46" spans="1:11" x14ac:dyDescent="0.25">
      <c r="A46">
        <v>45</v>
      </c>
      <c r="B46">
        <v>365</v>
      </c>
      <c r="C46">
        <v>10</v>
      </c>
      <c r="D46">
        <v>21</v>
      </c>
      <c r="E46">
        <v>5</v>
      </c>
      <c r="F46">
        <v>2000</v>
      </c>
      <c r="G46">
        <v>687.85628272607994</v>
      </c>
      <c r="H46">
        <v>0.37725414271959612</v>
      </c>
      <c r="I46">
        <v>0.46912481551588781</v>
      </c>
      <c r="J46">
        <f>50</f>
        <v>50</v>
      </c>
      <c r="K46">
        <v>0.6</v>
      </c>
    </row>
    <row r="47" spans="1:11" x14ac:dyDescent="0.25">
      <c r="A47">
        <v>46</v>
      </c>
      <c r="B47">
        <v>375</v>
      </c>
      <c r="C47">
        <v>10</v>
      </c>
      <c r="D47">
        <v>21</v>
      </c>
      <c r="E47">
        <v>5</v>
      </c>
      <c r="F47">
        <v>3000</v>
      </c>
      <c r="G47">
        <v>691.86574925252501</v>
      </c>
      <c r="H47">
        <v>0.33530373133504499</v>
      </c>
      <c r="I47">
        <v>0.41695844602363602</v>
      </c>
      <c r="J47">
        <f>50</f>
        <v>50</v>
      </c>
      <c r="K47">
        <v>0.6</v>
      </c>
    </row>
    <row r="48" spans="1:11" x14ac:dyDescent="0.25">
      <c r="A48">
        <v>47</v>
      </c>
      <c r="B48">
        <v>385</v>
      </c>
      <c r="C48">
        <v>10</v>
      </c>
      <c r="D48">
        <v>21</v>
      </c>
      <c r="E48">
        <v>5</v>
      </c>
      <c r="F48">
        <v>3000</v>
      </c>
      <c r="G48">
        <v>695.87521577897019</v>
      </c>
      <c r="H48">
        <v>0.33530373133504499</v>
      </c>
      <c r="I48">
        <v>0.41695844602363602</v>
      </c>
      <c r="J48">
        <f>50</f>
        <v>50</v>
      </c>
      <c r="K48">
        <v>0.6</v>
      </c>
    </row>
    <row r="49" spans="1:11" x14ac:dyDescent="0.25">
      <c r="A49">
        <v>48</v>
      </c>
      <c r="B49">
        <v>395</v>
      </c>
      <c r="C49">
        <v>10</v>
      </c>
      <c r="D49">
        <v>21</v>
      </c>
      <c r="E49">
        <v>5</v>
      </c>
      <c r="F49">
        <v>3000</v>
      </c>
      <c r="G49">
        <v>699.88468230541525</v>
      </c>
      <c r="H49">
        <v>0.33530373133504499</v>
      </c>
      <c r="I49">
        <v>0.41695844602363602</v>
      </c>
      <c r="J49">
        <f>50</f>
        <v>50</v>
      </c>
      <c r="K49">
        <v>0.6</v>
      </c>
    </row>
    <row r="50" spans="1:11" x14ac:dyDescent="0.25">
      <c r="A50">
        <v>49</v>
      </c>
      <c r="B50">
        <v>405</v>
      </c>
      <c r="C50">
        <v>10</v>
      </c>
      <c r="D50">
        <v>21</v>
      </c>
      <c r="E50">
        <v>5</v>
      </c>
      <c r="F50">
        <v>3000</v>
      </c>
      <c r="G50">
        <v>703.89414883186032</v>
      </c>
      <c r="H50">
        <v>0.33530373133504499</v>
      </c>
      <c r="I50">
        <v>0.41695844602363602</v>
      </c>
      <c r="J50">
        <f>50</f>
        <v>50</v>
      </c>
      <c r="K50">
        <v>0.6</v>
      </c>
    </row>
    <row r="51" spans="1:11" x14ac:dyDescent="0.25">
      <c r="A51">
        <v>50</v>
      </c>
      <c r="B51">
        <v>415</v>
      </c>
      <c r="C51">
        <v>10</v>
      </c>
      <c r="D51">
        <v>21</v>
      </c>
      <c r="E51">
        <v>5</v>
      </c>
      <c r="F51">
        <v>3000</v>
      </c>
      <c r="G51">
        <v>707.9036153583055</v>
      </c>
      <c r="H51">
        <v>0.33530373133504499</v>
      </c>
      <c r="I51">
        <v>0.41695844602363602</v>
      </c>
      <c r="J51">
        <f>50</f>
        <v>50</v>
      </c>
      <c r="K51">
        <v>0.6</v>
      </c>
    </row>
    <row r="52" spans="1:11" x14ac:dyDescent="0.25">
      <c r="A52">
        <v>51</v>
      </c>
      <c r="B52">
        <v>425</v>
      </c>
      <c r="C52">
        <v>10</v>
      </c>
      <c r="D52">
        <v>21</v>
      </c>
      <c r="E52">
        <v>5</v>
      </c>
      <c r="F52">
        <v>3000</v>
      </c>
      <c r="G52">
        <v>711.91308188475057</v>
      </c>
      <c r="H52">
        <v>0.33530373133504499</v>
      </c>
      <c r="I52">
        <v>0.41695844602363602</v>
      </c>
      <c r="J52">
        <f>50</f>
        <v>50</v>
      </c>
      <c r="K52">
        <v>0.6</v>
      </c>
    </row>
    <row r="53" spans="1:11" x14ac:dyDescent="0.25">
      <c r="A53">
        <v>52</v>
      </c>
      <c r="B53">
        <v>435</v>
      </c>
      <c r="C53">
        <v>10</v>
      </c>
      <c r="D53">
        <v>21</v>
      </c>
      <c r="E53">
        <v>5</v>
      </c>
      <c r="F53">
        <v>3000</v>
      </c>
      <c r="G53">
        <v>715.92254841119575</v>
      </c>
      <c r="H53">
        <v>0.33530373133504499</v>
      </c>
      <c r="I53">
        <v>0.41695844602363602</v>
      </c>
      <c r="J53">
        <f>50</f>
        <v>50</v>
      </c>
      <c r="K53">
        <v>0.6</v>
      </c>
    </row>
    <row r="54" spans="1:11" x14ac:dyDescent="0.25">
      <c r="A54">
        <v>53</v>
      </c>
      <c r="B54">
        <v>445</v>
      </c>
      <c r="C54">
        <v>10</v>
      </c>
      <c r="D54">
        <v>21</v>
      </c>
      <c r="E54">
        <v>5</v>
      </c>
      <c r="F54">
        <v>3000</v>
      </c>
      <c r="G54">
        <v>719.93201493764082</v>
      </c>
      <c r="H54">
        <v>0.33530373133504499</v>
      </c>
      <c r="I54">
        <v>0.41695844602363602</v>
      </c>
      <c r="J54">
        <f>50</f>
        <v>50</v>
      </c>
      <c r="K54">
        <v>0.6</v>
      </c>
    </row>
    <row r="55" spans="1:11" x14ac:dyDescent="0.25">
      <c r="A55">
        <v>54</v>
      </c>
      <c r="B55">
        <v>455</v>
      </c>
      <c r="C55">
        <v>10</v>
      </c>
      <c r="D55">
        <v>21</v>
      </c>
      <c r="E55">
        <v>5</v>
      </c>
      <c r="F55">
        <v>3000</v>
      </c>
      <c r="G55">
        <v>723.94148146408577</v>
      </c>
      <c r="H55">
        <v>0.33530373133504499</v>
      </c>
      <c r="I55">
        <v>0.41695844602363602</v>
      </c>
      <c r="J55">
        <f>50</f>
        <v>50</v>
      </c>
      <c r="K55">
        <v>0.6</v>
      </c>
    </row>
    <row r="56" spans="1:11" x14ac:dyDescent="0.25">
      <c r="A56">
        <v>55</v>
      </c>
      <c r="B56">
        <v>465</v>
      </c>
      <c r="C56">
        <v>10</v>
      </c>
      <c r="D56">
        <v>21</v>
      </c>
      <c r="E56">
        <v>5</v>
      </c>
      <c r="F56">
        <v>3000</v>
      </c>
      <c r="G56">
        <v>727.95094799053106</v>
      </c>
      <c r="H56">
        <v>0.33530373133504499</v>
      </c>
      <c r="I56">
        <v>0.41695844602363602</v>
      </c>
      <c r="J56">
        <f>50</f>
        <v>50</v>
      </c>
      <c r="K56">
        <v>0.6</v>
      </c>
    </row>
    <row r="57" spans="1:11" x14ac:dyDescent="0.25">
      <c r="A57">
        <v>56</v>
      </c>
      <c r="B57">
        <v>475</v>
      </c>
      <c r="C57">
        <v>10</v>
      </c>
      <c r="D57">
        <v>21</v>
      </c>
      <c r="E57">
        <v>5</v>
      </c>
      <c r="F57">
        <v>3000</v>
      </c>
      <c r="G57">
        <v>731.96041451697613</v>
      </c>
      <c r="H57">
        <v>0.33530373133504499</v>
      </c>
      <c r="I57">
        <v>0.41695844602363602</v>
      </c>
      <c r="J57">
        <f>50</f>
        <v>50</v>
      </c>
      <c r="K57">
        <v>0.6</v>
      </c>
    </row>
    <row r="58" spans="1:11" x14ac:dyDescent="0.25">
      <c r="A58">
        <v>57</v>
      </c>
      <c r="B58">
        <v>485</v>
      </c>
      <c r="C58">
        <v>10</v>
      </c>
      <c r="D58">
        <v>21</v>
      </c>
      <c r="E58">
        <v>5</v>
      </c>
      <c r="F58">
        <v>3000</v>
      </c>
      <c r="G58">
        <v>735.96988104342131</v>
      </c>
      <c r="H58">
        <v>0.33530373133504499</v>
      </c>
      <c r="I58">
        <v>0.41695844602363602</v>
      </c>
      <c r="J58">
        <f>50</f>
        <v>50</v>
      </c>
      <c r="K58">
        <v>0.6</v>
      </c>
    </row>
    <row r="59" spans="1:11" x14ac:dyDescent="0.25">
      <c r="A59">
        <v>58</v>
      </c>
      <c r="B59">
        <v>495</v>
      </c>
      <c r="C59">
        <v>10</v>
      </c>
      <c r="D59">
        <v>21</v>
      </c>
      <c r="E59">
        <v>5</v>
      </c>
      <c r="F59">
        <v>3000</v>
      </c>
      <c r="G59">
        <v>739.97934756986638</v>
      </c>
      <c r="H59">
        <v>0.33530373133504499</v>
      </c>
      <c r="I59">
        <v>0.41695844602363602</v>
      </c>
      <c r="J59">
        <f>50</f>
        <v>50</v>
      </c>
      <c r="K59">
        <v>0.6</v>
      </c>
    </row>
    <row r="60" spans="1:11" x14ac:dyDescent="0.25">
      <c r="A60">
        <v>59</v>
      </c>
      <c r="B60">
        <v>505</v>
      </c>
      <c r="C60">
        <v>10</v>
      </c>
      <c r="D60">
        <v>21</v>
      </c>
      <c r="E60">
        <v>5</v>
      </c>
      <c r="F60">
        <v>3000</v>
      </c>
      <c r="G60">
        <v>743.98881409631156</v>
      </c>
      <c r="H60">
        <v>0.33530373133504499</v>
      </c>
      <c r="I60">
        <v>0.41695844602363602</v>
      </c>
      <c r="J60">
        <f>50</f>
        <v>50</v>
      </c>
      <c r="K60">
        <v>0.6</v>
      </c>
    </row>
    <row r="61" spans="1:11" x14ac:dyDescent="0.25">
      <c r="A61">
        <v>60</v>
      </c>
      <c r="B61">
        <v>515</v>
      </c>
      <c r="C61">
        <v>10</v>
      </c>
      <c r="D61">
        <v>21</v>
      </c>
      <c r="E61">
        <v>5</v>
      </c>
      <c r="F61">
        <v>4000</v>
      </c>
      <c r="G61">
        <v>747.99828062275662</v>
      </c>
      <c r="H61">
        <v>0.30840322026840888</v>
      </c>
      <c r="I61">
        <v>0.38350699814702882</v>
      </c>
      <c r="J61">
        <f>50</f>
        <v>50</v>
      </c>
      <c r="K61">
        <v>0.6</v>
      </c>
    </row>
    <row r="62" spans="1:11" x14ac:dyDescent="0.25">
      <c r="A62">
        <v>61</v>
      </c>
      <c r="B62">
        <v>525</v>
      </c>
      <c r="C62">
        <v>10</v>
      </c>
      <c r="D62">
        <v>21</v>
      </c>
      <c r="E62">
        <v>5</v>
      </c>
      <c r="F62">
        <v>4000</v>
      </c>
      <c r="G62">
        <v>752.0077471492018</v>
      </c>
      <c r="H62">
        <v>0.30840322026840888</v>
      </c>
      <c r="I62">
        <v>0.38350699814702882</v>
      </c>
      <c r="J62">
        <f>50</f>
        <v>50</v>
      </c>
      <c r="K62">
        <v>0.6</v>
      </c>
    </row>
    <row r="63" spans="1:11" x14ac:dyDescent="0.25">
      <c r="A63">
        <v>62</v>
      </c>
      <c r="B63">
        <v>535</v>
      </c>
      <c r="C63">
        <v>10</v>
      </c>
      <c r="D63">
        <v>21</v>
      </c>
      <c r="E63">
        <v>5</v>
      </c>
      <c r="F63">
        <v>4000</v>
      </c>
      <c r="G63">
        <v>756.01721367564687</v>
      </c>
      <c r="H63">
        <v>0.30840322026840888</v>
      </c>
      <c r="I63">
        <v>0.38350699814702882</v>
      </c>
      <c r="J63">
        <f>50</f>
        <v>50</v>
      </c>
      <c r="K63">
        <v>0.6</v>
      </c>
    </row>
    <row r="64" spans="1:11" x14ac:dyDescent="0.25">
      <c r="A64">
        <v>63</v>
      </c>
      <c r="B64">
        <v>545</v>
      </c>
      <c r="C64">
        <v>10</v>
      </c>
      <c r="D64">
        <v>21</v>
      </c>
      <c r="E64">
        <v>5</v>
      </c>
      <c r="F64">
        <v>4000</v>
      </c>
      <c r="G64">
        <v>760.02668020209194</v>
      </c>
      <c r="H64">
        <v>0.30840322026840888</v>
      </c>
      <c r="I64">
        <v>0.38350699814702882</v>
      </c>
      <c r="J64">
        <f>50</f>
        <v>50</v>
      </c>
      <c r="K64">
        <v>0.6</v>
      </c>
    </row>
    <row r="65" spans="1:11" x14ac:dyDescent="0.25">
      <c r="A65">
        <v>64</v>
      </c>
      <c r="B65">
        <v>555</v>
      </c>
      <c r="C65">
        <v>10</v>
      </c>
      <c r="D65">
        <v>21</v>
      </c>
      <c r="E65">
        <v>5</v>
      </c>
      <c r="F65">
        <v>4000</v>
      </c>
      <c r="G65">
        <v>764.03614672853712</v>
      </c>
      <c r="H65">
        <v>0.30840322026840888</v>
      </c>
      <c r="I65">
        <v>0.38350699814702882</v>
      </c>
      <c r="J65">
        <f>50</f>
        <v>50</v>
      </c>
      <c r="K65">
        <v>0.6</v>
      </c>
    </row>
    <row r="66" spans="1:11" x14ac:dyDescent="0.25">
      <c r="A66">
        <v>65</v>
      </c>
      <c r="B66">
        <v>565</v>
      </c>
      <c r="C66">
        <v>10</v>
      </c>
      <c r="D66">
        <v>21</v>
      </c>
      <c r="E66">
        <v>5</v>
      </c>
      <c r="F66">
        <v>4000</v>
      </c>
      <c r="G66">
        <v>768.04561325498219</v>
      </c>
      <c r="H66">
        <v>0.30840322026840888</v>
      </c>
      <c r="I66">
        <v>0.38350699814702882</v>
      </c>
      <c r="J66">
        <f>50</f>
        <v>50</v>
      </c>
      <c r="K66">
        <v>0.6</v>
      </c>
    </row>
    <row r="67" spans="1:11" x14ac:dyDescent="0.25">
      <c r="A67">
        <v>66</v>
      </c>
      <c r="B67">
        <v>575</v>
      </c>
      <c r="C67">
        <v>10</v>
      </c>
      <c r="D67">
        <v>21</v>
      </c>
      <c r="E67">
        <v>5</v>
      </c>
      <c r="F67">
        <v>4000</v>
      </c>
      <c r="G67">
        <v>772.05507978142737</v>
      </c>
      <c r="H67">
        <v>0.30840322026840888</v>
      </c>
      <c r="I67">
        <v>0.38350699814702882</v>
      </c>
      <c r="J67">
        <f>50</f>
        <v>50</v>
      </c>
      <c r="K67">
        <v>0.6</v>
      </c>
    </row>
    <row r="68" spans="1:11" x14ac:dyDescent="0.25">
      <c r="A68">
        <v>67</v>
      </c>
      <c r="B68">
        <v>585</v>
      </c>
      <c r="C68">
        <v>10</v>
      </c>
      <c r="D68">
        <v>21</v>
      </c>
      <c r="E68">
        <v>5</v>
      </c>
      <c r="F68">
        <v>4000</v>
      </c>
      <c r="G68">
        <v>776.06454630787243</v>
      </c>
      <c r="H68">
        <v>0.30840322026840888</v>
      </c>
      <c r="I68">
        <v>0.38350699814702882</v>
      </c>
      <c r="J68">
        <f>50</f>
        <v>50</v>
      </c>
      <c r="K68">
        <v>0.6</v>
      </c>
    </row>
    <row r="69" spans="1:11" x14ac:dyDescent="0.25">
      <c r="A69">
        <v>68</v>
      </c>
      <c r="B69">
        <v>595</v>
      </c>
      <c r="C69">
        <v>10</v>
      </c>
      <c r="D69">
        <v>21</v>
      </c>
      <c r="E69">
        <v>5</v>
      </c>
      <c r="F69">
        <v>4000</v>
      </c>
      <c r="G69">
        <v>780.07401283431761</v>
      </c>
      <c r="H69">
        <v>0.30840322026840888</v>
      </c>
      <c r="I69">
        <v>0.38350699814702882</v>
      </c>
      <c r="J69">
        <f>50</f>
        <v>50</v>
      </c>
      <c r="K69">
        <v>0.6</v>
      </c>
    </row>
    <row r="70" spans="1:11" x14ac:dyDescent="0.25">
      <c r="A70">
        <v>69</v>
      </c>
      <c r="B70">
        <v>605</v>
      </c>
      <c r="C70">
        <v>10</v>
      </c>
      <c r="D70">
        <v>21</v>
      </c>
      <c r="E70">
        <v>5</v>
      </c>
      <c r="F70">
        <v>4000</v>
      </c>
      <c r="G70">
        <v>784.08347936076268</v>
      </c>
      <c r="H70">
        <v>0.30840322026840888</v>
      </c>
      <c r="I70">
        <v>0.38350699814702882</v>
      </c>
      <c r="J70">
        <f>50</f>
        <v>50</v>
      </c>
      <c r="K70">
        <v>0.6</v>
      </c>
    </row>
    <row r="71" spans="1:11" x14ac:dyDescent="0.25">
      <c r="A71">
        <v>70</v>
      </c>
      <c r="B71">
        <v>615</v>
      </c>
      <c r="C71">
        <v>10</v>
      </c>
      <c r="D71">
        <v>21</v>
      </c>
      <c r="E71">
        <v>5</v>
      </c>
      <c r="F71">
        <v>4000</v>
      </c>
      <c r="G71">
        <v>788.09294588720786</v>
      </c>
      <c r="H71">
        <v>0.30840322026840888</v>
      </c>
      <c r="I71">
        <v>0.38350699814702882</v>
      </c>
      <c r="J71">
        <f>50</f>
        <v>50</v>
      </c>
      <c r="K71">
        <v>0.6</v>
      </c>
    </row>
    <row r="72" spans="1:11" x14ac:dyDescent="0.25">
      <c r="A72">
        <v>71</v>
      </c>
      <c r="B72">
        <v>625</v>
      </c>
      <c r="C72">
        <v>10</v>
      </c>
      <c r="D72">
        <v>21</v>
      </c>
      <c r="E72">
        <v>5</v>
      </c>
      <c r="F72">
        <v>4000</v>
      </c>
      <c r="G72">
        <v>792.10241241365293</v>
      </c>
      <c r="H72">
        <v>0.30840322026840888</v>
      </c>
      <c r="I72">
        <v>0.38350699814702882</v>
      </c>
      <c r="J72">
        <f>50</f>
        <v>50</v>
      </c>
      <c r="K72">
        <v>0.6</v>
      </c>
    </row>
    <row r="73" spans="1:11" x14ac:dyDescent="0.25">
      <c r="A73">
        <v>72</v>
      </c>
      <c r="B73">
        <v>635</v>
      </c>
      <c r="C73">
        <v>10</v>
      </c>
      <c r="D73">
        <v>21</v>
      </c>
      <c r="E73">
        <v>5</v>
      </c>
      <c r="F73">
        <v>4000</v>
      </c>
      <c r="G73">
        <v>796.11187894009799</v>
      </c>
      <c r="H73">
        <v>0.30840322026840888</v>
      </c>
      <c r="I73">
        <v>0.38350699814702882</v>
      </c>
      <c r="J73">
        <f>50</f>
        <v>50</v>
      </c>
      <c r="K73">
        <v>0.6</v>
      </c>
    </row>
    <row r="74" spans="1:11" x14ac:dyDescent="0.25">
      <c r="A74">
        <v>73</v>
      </c>
      <c r="B74">
        <v>645</v>
      </c>
      <c r="C74">
        <v>10</v>
      </c>
      <c r="D74">
        <v>21</v>
      </c>
      <c r="E74">
        <v>5</v>
      </c>
      <c r="F74">
        <v>5000</v>
      </c>
      <c r="G74">
        <v>800.12134546654318</v>
      </c>
      <c r="H74">
        <v>0.2890345624112523</v>
      </c>
      <c r="I74">
        <v>0.35942159519153988</v>
      </c>
      <c r="J74">
        <f>50</f>
        <v>50</v>
      </c>
      <c r="K74">
        <v>0.6</v>
      </c>
    </row>
    <row r="75" spans="1:11" x14ac:dyDescent="0.25">
      <c r="A75">
        <v>74</v>
      </c>
      <c r="B75">
        <v>655</v>
      </c>
      <c r="C75">
        <v>10</v>
      </c>
      <c r="D75">
        <v>21</v>
      </c>
      <c r="E75">
        <v>5</v>
      </c>
      <c r="F75">
        <v>5000</v>
      </c>
      <c r="G75">
        <v>804.13081199298824</v>
      </c>
      <c r="H75">
        <v>0.2890345624112523</v>
      </c>
      <c r="I75">
        <v>0.35942159519153988</v>
      </c>
      <c r="J75">
        <f>50</f>
        <v>50</v>
      </c>
      <c r="K75">
        <v>0.6</v>
      </c>
    </row>
    <row r="76" spans="1:11" x14ac:dyDescent="0.25">
      <c r="A76">
        <v>75</v>
      </c>
      <c r="B76">
        <v>665</v>
      </c>
      <c r="C76">
        <v>10</v>
      </c>
      <c r="D76">
        <v>21</v>
      </c>
      <c r="E76">
        <v>5</v>
      </c>
      <c r="F76">
        <v>5000</v>
      </c>
      <c r="G76">
        <v>808.14027851943342</v>
      </c>
      <c r="H76">
        <v>0.2890345624112523</v>
      </c>
      <c r="I76">
        <v>0.35942159519153988</v>
      </c>
      <c r="J76">
        <f>50</f>
        <v>50</v>
      </c>
      <c r="K76">
        <v>0.6</v>
      </c>
    </row>
    <row r="77" spans="1:11" x14ac:dyDescent="0.25">
      <c r="A77">
        <v>76</v>
      </c>
      <c r="B77">
        <v>675</v>
      </c>
      <c r="C77">
        <v>10</v>
      </c>
      <c r="D77">
        <v>21</v>
      </c>
      <c r="E77">
        <v>5</v>
      </c>
      <c r="F77">
        <v>5000</v>
      </c>
      <c r="G77">
        <v>812.14974504587849</v>
      </c>
      <c r="H77">
        <v>0.2890345624112523</v>
      </c>
      <c r="I77">
        <v>0.35942159519153988</v>
      </c>
      <c r="J77">
        <f>50</f>
        <v>50</v>
      </c>
      <c r="K77">
        <v>0.6</v>
      </c>
    </row>
    <row r="78" spans="1:11" x14ac:dyDescent="0.25">
      <c r="A78">
        <v>77</v>
      </c>
      <c r="B78">
        <v>685</v>
      </c>
      <c r="C78">
        <v>10</v>
      </c>
      <c r="D78">
        <v>21</v>
      </c>
      <c r="E78">
        <v>5</v>
      </c>
      <c r="F78">
        <v>5000</v>
      </c>
      <c r="G78">
        <v>816.15921157232356</v>
      </c>
      <c r="H78">
        <v>0.2890345624112523</v>
      </c>
      <c r="I78">
        <v>0.35942159519153988</v>
      </c>
      <c r="J78">
        <f>50</f>
        <v>50</v>
      </c>
      <c r="K78">
        <v>0.6</v>
      </c>
    </row>
    <row r="79" spans="1:11" x14ac:dyDescent="0.25">
      <c r="A79">
        <v>78</v>
      </c>
      <c r="B79">
        <v>695</v>
      </c>
      <c r="C79">
        <v>10</v>
      </c>
      <c r="D79">
        <v>21</v>
      </c>
      <c r="E79">
        <v>5</v>
      </c>
      <c r="F79">
        <v>5000</v>
      </c>
      <c r="G79">
        <v>820.16867809876874</v>
      </c>
      <c r="H79">
        <v>0.2890345624112523</v>
      </c>
      <c r="I79">
        <v>0.35942159519153988</v>
      </c>
      <c r="J79">
        <f>50</f>
        <v>50</v>
      </c>
      <c r="K79">
        <v>0.6</v>
      </c>
    </row>
    <row r="80" spans="1:11" x14ac:dyDescent="0.25">
      <c r="A80">
        <v>79</v>
      </c>
      <c r="B80">
        <v>705</v>
      </c>
      <c r="C80">
        <v>10</v>
      </c>
      <c r="D80">
        <v>21</v>
      </c>
      <c r="E80">
        <v>5</v>
      </c>
      <c r="F80">
        <v>5000</v>
      </c>
      <c r="G80">
        <v>824.17814462521392</v>
      </c>
      <c r="H80">
        <v>0.2890345624112523</v>
      </c>
      <c r="I80">
        <v>0.35942159519153988</v>
      </c>
      <c r="J80">
        <f>50</f>
        <v>50</v>
      </c>
      <c r="K80">
        <v>0.6</v>
      </c>
    </row>
    <row r="81" spans="1:11" x14ac:dyDescent="0.25">
      <c r="A81">
        <v>80</v>
      </c>
      <c r="B81">
        <v>715</v>
      </c>
      <c r="C81">
        <v>10</v>
      </c>
      <c r="D81">
        <v>21</v>
      </c>
      <c r="E81">
        <v>5</v>
      </c>
      <c r="F81">
        <v>10000</v>
      </c>
      <c r="G81">
        <v>828.18761115165898</v>
      </c>
      <c r="H81">
        <v>0.23629916099036011</v>
      </c>
      <c r="I81">
        <v>0.29384382503270928</v>
      </c>
      <c r="J81">
        <f>50</f>
        <v>50</v>
      </c>
      <c r="K81">
        <v>0.6</v>
      </c>
    </row>
    <row r="82" spans="1:11" x14ac:dyDescent="0.25">
      <c r="A82">
        <v>81</v>
      </c>
      <c r="B82">
        <v>725</v>
      </c>
      <c r="C82">
        <v>10</v>
      </c>
      <c r="D82">
        <v>21</v>
      </c>
      <c r="E82">
        <v>5</v>
      </c>
      <c r="F82">
        <v>10000</v>
      </c>
      <c r="G82">
        <v>832.19707767810405</v>
      </c>
      <c r="H82">
        <v>0.23629916099036011</v>
      </c>
      <c r="I82">
        <v>0.29384382503270928</v>
      </c>
      <c r="J82">
        <f>50</f>
        <v>50</v>
      </c>
      <c r="K82">
        <v>0.6</v>
      </c>
    </row>
    <row r="83" spans="1:11" x14ac:dyDescent="0.25">
      <c r="A83">
        <v>82</v>
      </c>
      <c r="B83">
        <v>735</v>
      </c>
      <c r="C83">
        <v>10</v>
      </c>
      <c r="D83">
        <v>21</v>
      </c>
      <c r="E83">
        <v>5</v>
      </c>
      <c r="F83">
        <v>10000</v>
      </c>
      <c r="G83">
        <v>836.20654420454923</v>
      </c>
      <c r="H83">
        <v>0.23629916099036011</v>
      </c>
      <c r="I83">
        <v>0.29384382503270928</v>
      </c>
      <c r="J83">
        <f>50</f>
        <v>50</v>
      </c>
      <c r="K83">
        <v>0.6</v>
      </c>
    </row>
    <row r="84" spans="1:11" x14ac:dyDescent="0.25">
      <c r="A84">
        <v>83</v>
      </c>
      <c r="B84">
        <v>745</v>
      </c>
      <c r="C84">
        <v>10</v>
      </c>
      <c r="D84">
        <v>21</v>
      </c>
      <c r="E84">
        <v>5</v>
      </c>
      <c r="F84">
        <v>10000</v>
      </c>
      <c r="G84">
        <v>840.2160107309943</v>
      </c>
      <c r="H84">
        <v>0.23629916099036011</v>
      </c>
      <c r="I84">
        <v>0.29384382503270928</v>
      </c>
      <c r="J84">
        <f>50</f>
        <v>50</v>
      </c>
      <c r="K84">
        <v>0.6</v>
      </c>
    </row>
    <row r="85" spans="1:11" x14ac:dyDescent="0.25">
      <c r="A85">
        <v>84</v>
      </c>
      <c r="B85">
        <v>755</v>
      </c>
      <c r="C85">
        <v>10</v>
      </c>
      <c r="D85">
        <v>21</v>
      </c>
      <c r="E85">
        <v>5</v>
      </c>
      <c r="F85">
        <v>10000</v>
      </c>
      <c r="G85">
        <v>844.22547725743948</v>
      </c>
      <c r="H85">
        <v>0.23629916099036011</v>
      </c>
      <c r="I85">
        <v>0.29384382503270928</v>
      </c>
      <c r="J85">
        <f>50</f>
        <v>50</v>
      </c>
      <c r="K85">
        <v>0.6</v>
      </c>
    </row>
    <row r="86" spans="1:11" x14ac:dyDescent="0.25">
      <c r="A86">
        <v>85</v>
      </c>
      <c r="B86">
        <v>765</v>
      </c>
      <c r="C86">
        <v>10</v>
      </c>
      <c r="D86">
        <v>21</v>
      </c>
      <c r="E86">
        <v>5</v>
      </c>
      <c r="F86">
        <v>10000</v>
      </c>
      <c r="G86">
        <v>848.23494378388455</v>
      </c>
      <c r="H86">
        <v>0.23629916099036011</v>
      </c>
      <c r="I86">
        <v>0.29384382503270928</v>
      </c>
      <c r="J86">
        <f>50</f>
        <v>50</v>
      </c>
      <c r="K86">
        <v>0.6</v>
      </c>
    </row>
    <row r="87" spans="1:11" x14ac:dyDescent="0.25">
      <c r="A87">
        <v>86</v>
      </c>
      <c r="B87">
        <v>775</v>
      </c>
      <c r="C87">
        <v>10</v>
      </c>
      <c r="D87">
        <v>21</v>
      </c>
      <c r="E87">
        <v>5</v>
      </c>
      <c r="F87">
        <v>10000</v>
      </c>
      <c r="G87">
        <v>852.24441031032961</v>
      </c>
      <c r="H87">
        <v>0.23629916099036011</v>
      </c>
      <c r="I87">
        <v>0.29384382503270928</v>
      </c>
      <c r="J87">
        <f>50</f>
        <v>50</v>
      </c>
      <c r="K87">
        <v>0.6</v>
      </c>
    </row>
    <row r="88" spans="1:11" x14ac:dyDescent="0.25">
      <c r="A88">
        <v>87</v>
      </c>
      <c r="B88">
        <v>785</v>
      </c>
      <c r="C88">
        <v>10</v>
      </c>
      <c r="D88">
        <v>21</v>
      </c>
      <c r="E88">
        <v>5</v>
      </c>
      <c r="F88">
        <v>10000</v>
      </c>
      <c r="G88">
        <v>856.25387683677479</v>
      </c>
      <c r="H88">
        <v>0.23629916099036011</v>
      </c>
      <c r="I88">
        <v>0.29384382503270928</v>
      </c>
      <c r="J88">
        <f>50</f>
        <v>50</v>
      </c>
      <c r="K88">
        <v>0.6</v>
      </c>
    </row>
    <row r="89" spans="1:11" x14ac:dyDescent="0.25">
      <c r="A89">
        <v>88</v>
      </c>
      <c r="B89">
        <v>795</v>
      </c>
      <c r="C89">
        <v>10</v>
      </c>
      <c r="D89">
        <v>21</v>
      </c>
      <c r="E89">
        <v>5</v>
      </c>
      <c r="F89">
        <v>10000</v>
      </c>
      <c r="G89">
        <v>860.26334336321986</v>
      </c>
      <c r="H89">
        <v>0.23629916099036011</v>
      </c>
      <c r="I89">
        <v>0.29384382503270928</v>
      </c>
      <c r="J89">
        <f>50</f>
        <v>50</v>
      </c>
      <c r="K89">
        <v>0.6</v>
      </c>
    </row>
    <row r="90" spans="1:11" x14ac:dyDescent="0.25">
      <c r="A90">
        <v>89</v>
      </c>
      <c r="B90">
        <v>805</v>
      </c>
      <c r="C90">
        <v>10</v>
      </c>
      <c r="D90">
        <v>21</v>
      </c>
      <c r="E90">
        <v>5</v>
      </c>
      <c r="F90">
        <v>10000</v>
      </c>
      <c r="G90">
        <v>864.27280988966504</v>
      </c>
      <c r="H90">
        <v>0.23629916099036011</v>
      </c>
      <c r="I90">
        <v>0.29384382503270928</v>
      </c>
      <c r="J90">
        <f>50</f>
        <v>50</v>
      </c>
      <c r="K90">
        <v>0.6</v>
      </c>
    </row>
    <row r="91" spans="1:11" x14ac:dyDescent="0.25">
      <c r="A91">
        <v>90</v>
      </c>
      <c r="B91">
        <v>815</v>
      </c>
      <c r="C91">
        <v>10</v>
      </c>
      <c r="D91">
        <v>21</v>
      </c>
      <c r="E91">
        <v>5</v>
      </c>
      <c r="F91">
        <v>10000</v>
      </c>
      <c r="G91">
        <v>868.28227641611011</v>
      </c>
      <c r="H91">
        <v>0.23629916099036011</v>
      </c>
      <c r="I91">
        <v>0.29384382503270928</v>
      </c>
      <c r="J91">
        <f>50</f>
        <v>50</v>
      </c>
      <c r="K91">
        <v>0.6</v>
      </c>
    </row>
    <row r="92" spans="1:11" x14ac:dyDescent="0.25">
      <c r="A92">
        <v>91</v>
      </c>
      <c r="B92">
        <v>825</v>
      </c>
      <c r="C92">
        <v>10</v>
      </c>
      <c r="D92">
        <v>21</v>
      </c>
      <c r="E92">
        <v>5</v>
      </c>
      <c r="F92">
        <v>10000</v>
      </c>
      <c r="G92">
        <v>872.29174294255529</v>
      </c>
      <c r="H92">
        <v>0.23629916099036011</v>
      </c>
      <c r="I92">
        <v>0.29384382503270928</v>
      </c>
      <c r="J92">
        <f>50</f>
        <v>50</v>
      </c>
      <c r="K92">
        <v>0.6</v>
      </c>
    </row>
    <row r="93" spans="1:11" x14ac:dyDescent="0.25">
      <c r="A93">
        <v>92</v>
      </c>
      <c r="B93">
        <v>835</v>
      </c>
      <c r="C93">
        <v>10</v>
      </c>
      <c r="D93">
        <v>21</v>
      </c>
      <c r="E93">
        <v>5</v>
      </c>
      <c r="F93">
        <v>10000</v>
      </c>
      <c r="G93">
        <v>876.30120946900036</v>
      </c>
      <c r="H93">
        <v>0.23629916099036011</v>
      </c>
      <c r="I93">
        <v>0.29384382503270928</v>
      </c>
      <c r="J93">
        <f>50</f>
        <v>50</v>
      </c>
      <c r="K93">
        <v>0.6</v>
      </c>
    </row>
    <row r="94" spans="1:11" x14ac:dyDescent="0.25">
      <c r="A94">
        <v>93</v>
      </c>
      <c r="B94">
        <v>845</v>
      </c>
      <c r="C94">
        <v>10</v>
      </c>
      <c r="D94">
        <v>21</v>
      </c>
      <c r="E94">
        <v>5</v>
      </c>
      <c r="F94">
        <v>10000</v>
      </c>
      <c r="G94">
        <v>880.31067599544554</v>
      </c>
      <c r="H94">
        <v>0.23629916099036011</v>
      </c>
      <c r="I94">
        <v>0.29384382503270928</v>
      </c>
      <c r="J94">
        <f>50</f>
        <v>50</v>
      </c>
      <c r="K94">
        <v>0.6</v>
      </c>
    </row>
    <row r="95" spans="1:11" x14ac:dyDescent="0.25">
      <c r="A95">
        <v>94</v>
      </c>
      <c r="B95">
        <v>855</v>
      </c>
      <c r="C95">
        <v>10</v>
      </c>
      <c r="D95">
        <v>21</v>
      </c>
      <c r="E95">
        <v>5</v>
      </c>
      <c r="F95">
        <v>10000</v>
      </c>
      <c r="G95">
        <v>884.3201425218906</v>
      </c>
      <c r="H95">
        <v>0.23629916099036011</v>
      </c>
      <c r="I95">
        <v>0.29384382503270928</v>
      </c>
      <c r="J95">
        <f>50</f>
        <v>50</v>
      </c>
      <c r="K95">
        <v>0.6</v>
      </c>
    </row>
    <row r="96" spans="1:11" x14ac:dyDescent="0.25">
      <c r="A96">
        <v>95</v>
      </c>
      <c r="B96">
        <v>865</v>
      </c>
      <c r="C96">
        <v>10</v>
      </c>
      <c r="D96">
        <v>21</v>
      </c>
      <c r="E96">
        <v>5</v>
      </c>
      <c r="F96">
        <v>10000</v>
      </c>
      <c r="G96">
        <v>888.32960904833567</v>
      </c>
      <c r="H96">
        <v>0.23629916099036011</v>
      </c>
      <c r="I96">
        <v>0.29384382503270928</v>
      </c>
      <c r="J96">
        <f>50</f>
        <v>50</v>
      </c>
      <c r="K96">
        <v>0.6</v>
      </c>
    </row>
    <row r="97" spans="1:11" x14ac:dyDescent="0.25">
      <c r="A97">
        <v>96</v>
      </c>
      <c r="B97">
        <v>875</v>
      </c>
      <c r="C97">
        <v>10</v>
      </c>
      <c r="D97">
        <v>21</v>
      </c>
      <c r="E97">
        <v>5</v>
      </c>
      <c r="F97">
        <v>10000</v>
      </c>
      <c r="G97">
        <v>892.33907557478085</v>
      </c>
      <c r="H97">
        <v>0.23629916099036011</v>
      </c>
      <c r="I97">
        <v>0.29384382503270928</v>
      </c>
      <c r="J97">
        <f>50</f>
        <v>50</v>
      </c>
      <c r="K97">
        <v>0.6</v>
      </c>
    </row>
    <row r="98" spans="1:11" x14ac:dyDescent="0.25">
      <c r="A98">
        <v>97</v>
      </c>
      <c r="B98">
        <v>885</v>
      </c>
      <c r="C98">
        <v>10</v>
      </c>
      <c r="D98">
        <v>21</v>
      </c>
      <c r="E98">
        <v>5</v>
      </c>
      <c r="F98">
        <v>10000</v>
      </c>
      <c r="G98">
        <v>896.34854210122592</v>
      </c>
      <c r="H98">
        <v>0.23629916099036011</v>
      </c>
      <c r="I98">
        <v>0.29384382503270928</v>
      </c>
      <c r="J98">
        <f>50</f>
        <v>50</v>
      </c>
      <c r="K98">
        <v>0.6</v>
      </c>
    </row>
    <row r="99" spans="1:11" x14ac:dyDescent="0.25">
      <c r="A99">
        <v>98</v>
      </c>
      <c r="B99">
        <v>895</v>
      </c>
      <c r="C99">
        <v>10</v>
      </c>
      <c r="D99">
        <v>21</v>
      </c>
      <c r="E99">
        <v>5</v>
      </c>
      <c r="F99">
        <v>10000</v>
      </c>
      <c r="G99">
        <v>900.3580086276711</v>
      </c>
      <c r="H99">
        <v>0.23629916099036011</v>
      </c>
      <c r="I99">
        <v>0.29384382503270928</v>
      </c>
      <c r="J99">
        <f>50</f>
        <v>50</v>
      </c>
      <c r="K99">
        <v>0.6</v>
      </c>
    </row>
    <row r="100" spans="1:11" x14ac:dyDescent="0.25">
      <c r="A100">
        <v>99</v>
      </c>
      <c r="B100">
        <v>905</v>
      </c>
      <c r="C100">
        <v>10</v>
      </c>
      <c r="D100">
        <v>21</v>
      </c>
      <c r="E100">
        <v>5</v>
      </c>
      <c r="F100">
        <v>10000</v>
      </c>
      <c r="G100">
        <v>904.36747515411616</v>
      </c>
      <c r="H100">
        <v>0.23629916099036011</v>
      </c>
      <c r="I100">
        <v>0.29384382503270928</v>
      </c>
      <c r="J100">
        <f>50</f>
        <v>50</v>
      </c>
      <c r="K100">
        <v>0.6</v>
      </c>
    </row>
    <row r="101" spans="1:11" x14ac:dyDescent="0.25">
      <c r="A101">
        <v>100</v>
      </c>
      <c r="B101">
        <v>915</v>
      </c>
      <c r="C101">
        <v>10</v>
      </c>
      <c r="D101">
        <v>21</v>
      </c>
      <c r="E101">
        <v>5</v>
      </c>
      <c r="F101">
        <v>10000</v>
      </c>
      <c r="G101">
        <v>908.37694168056123</v>
      </c>
      <c r="H101">
        <v>0.23629916099036011</v>
      </c>
      <c r="I101">
        <v>0.29384382503270928</v>
      </c>
      <c r="J101">
        <f>50</f>
        <v>50</v>
      </c>
      <c r="K101">
        <v>0.6</v>
      </c>
    </row>
    <row r="102" spans="1:11" x14ac:dyDescent="0.25">
      <c r="A102">
        <v>101</v>
      </c>
      <c r="B102">
        <v>925</v>
      </c>
      <c r="C102">
        <v>10</v>
      </c>
      <c r="D102">
        <v>21</v>
      </c>
      <c r="E102">
        <v>5</v>
      </c>
      <c r="F102">
        <v>10000</v>
      </c>
      <c r="G102">
        <v>912.38640820700641</v>
      </c>
      <c r="H102">
        <v>0.23629916099036011</v>
      </c>
      <c r="I102">
        <v>0.29384382503270928</v>
      </c>
      <c r="J102">
        <f>50</f>
        <v>50</v>
      </c>
      <c r="K102">
        <v>0.6</v>
      </c>
    </row>
    <row r="103" spans="1:11" x14ac:dyDescent="0.25">
      <c r="A103">
        <v>102</v>
      </c>
      <c r="B103">
        <v>935</v>
      </c>
      <c r="C103">
        <v>10</v>
      </c>
      <c r="D103">
        <v>21</v>
      </c>
      <c r="E103">
        <v>5</v>
      </c>
      <c r="F103">
        <v>10000</v>
      </c>
      <c r="G103">
        <v>916.39587473345159</v>
      </c>
      <c r="H103">
        <v>0.23629916099036011</v>
      </c>
      <c r="I103">
        <v>0.29384382503270928</v>
      </c>
      <c r="J103">
        <f>50</f>
        <v>50</v>
      </c>
      <c r="K103">
        <v>0.6</v>
      </c>
    </row>
    <row r="104" spans="1:11" x14ac:dyDescent="0.25">
      <c r="A104">
        <v>103</v>
      </c>
      <c r="B104">
        <v>945</v>
      </c>
      <c r="C104">
        <v>10</v>
      </c>
      <c r="D104">
        <v>21</v>
      </c>
      <c r="E104">
        <v>5</v>
      </c>
      <c r="F104">
        <v>10000</v>
      </c>
      <c r="G104">
        <v>920.40534125989666</v>
      </c>
      <c r="H104">
        <v>0.23629916099036011</v>
      </c>
      <c r="I104">
        <v>0.29384382503270928</v>
      </c>
      <c r="J104">
        <f>50</f>
        <v>50</v>
      </c>
      <c r="K104">
        <v>0.6</v>
      </c>
    </row>
    <row r="105" spans="1:11" x14ac:dyDescent="0.25">
      <c r="A105">
        <v>104</v>
      </c>
      <c r="B105">
        <v>955</v>
      </c>
      <c r="C105">
        <v>10</v>
      </c>
      <c r="D105">
        <v>21</v>
      </c>
      <c r="E105">
        <v>5</v>
      </c>
      <c r="F105">
        <v>10000</v>
      </c>
      <c r="G105">
        <v>924.41480778634173</v>
      </c>
      <c r="H105">
        <v>0.23629916099036011</v>
      </c>
      <c r="I105">
        <v>0.29384382503270928</v>
      </c>
      <c r="J105">
        <f>50</f>
        <v>50</v>
      </c>
      <c r="K105">
        <v>0.6</v>
      </c>
    </row>
    <row r="106" spans="1:11" x14ac:dyDescent="0.25">
      <c r="A106">
        <v>105</v>
      </c>
      <c r="B106">
        <v>965</v>
      </c>
      <c r="C106">
        <v>10</v>
      </c>
      <c r="D106">
        <v>21</v>
      </c>
      <c r="E106">
        <v>5</v>
      </c>
      <c r="F106">
        <v>10000</v>
      </c>
      <c r="G106">
        <v>928.42427431278679</v>
      </c>
      <c r="H106">
        <v>0.23629916099036011</v>
      </c>
      <c r="I106">
        <v>0.29384382503270928</v>
      </c>
      <c r="J106">
        <f>50</f>
        <v>50</v>
      </c>
      <c r="K106">
        <v>0.6</v>
      </c>
    </row>
    <row r="107" spans="1:11" x14ac:dyDescent="0.25">
      <c r="A107">
        <v>106</v>
      </c>
      <c r="B107">
        <v>975</v>
      </c>
      <c r="C107">
        <v>10</v>
      </c>
      <c r="D107">
        <v>21</v>
      </c>
      <c r="E107">
        <v>5</v>
      </c>
      <c r="F107">
        <v>10000</v>
      </c>
      <c r="G107">
        <v>932.43374083923197</v>
      </c>
      <c r="H107">
        <v>0.23629916099036011</v>
      </c>
      <c r="I107">
        <v>0.29384382503270928</v>
      </c>
      <c r="J107">
        <f>50</f>
        <v>50</v>
      </c>
      <c r="K107">
        <v>0.6</v>
      </c>
    </row>
    <row r="108" spans="1:11" x14ac:dyDescent="0.25">
      <c r="A108">
        <v>107</v>
      </c>
      <c r="B108">
        <v>985</v>
      </c>
      <c r="C108">
        <v>10</v>
      </c>
      <c r="D108">
        <v>21</v>
      </c>
      <c r="E108">
        <v>5</v>
      </c>
      <c r="F108">
        <v>10000</v>
      </c>
      <c r="G108">
        <v>936.44320736567715</v>
      </c>
      <c r="H108">
        <v>0.23629916099036011</v>
      </c>
      <c r="I108">
        <v>0.29384382503270928</v>
      </c>
      <c r="J108">
        <f>50</f>
        <v>50</v>
      </c>
      <c r="K108">
        <v>0.6</v>
      </c>
    </row>
    <row r="109" spans="1:11" x14ac:dyDescent="0.25">
      <c r="A109">
        <v>108</v>
      </c>
      <c r="B109">
        <v>995</v>
      </c>
      <c r="C109">
        <v>10</v>
      </c>
      <c r="D109">
        <v>21</v>
      </c>
      <c r="E109">
        <v>5</v>
      </c>
      <c r="F109">
        <v>10000</v>
      </c>
      <c r="G109">
        <v>940.45267389212222</v>
      </c>
      <c r="H109">
        <v>0.23629916099036011</v>
      </c>
      <c r="I109">
        <v>0.29384382503270928</v>
      </c>
      <c r="J109">
        <f>50</f>
        <v>50</v>
      </c>
      <c r="K109">
        <v>0.6</v>
      </c>
    </row>
    <row r="110" spans="1:11" x14ac:dyDescent="0.25">
      <c r="A110">
        <v>109</v>
      </c>
      <c r="B110">
        <v>1005</v>
      </c>
      <c r="C110">
        <v>10</v>
      </c>
      <c r="D110">
        <v>21</v>
      </c>
      <c r="E110">
        <v>5</v>
      </c>
      <c r="F110">
        <v>10000</v>
      </c>
      <c r="G110">
        <v>944.46214041856729</v>
      </c>
      <c r="H110">
        <v>0.23629916099036011</v>
      </c>
      <c r="I110">
        <v>0.29384382503270928</v>
      </c>
      <c r="J110">
        <f>50</f>
        <v>50</v>
      </c>
      <c r="K110">
        <v>0.6</v>
      </c>
    </row>
    <row r="111" spans="1:11" x14ac:dyDescent="0.25">
      <c r="A111">
        <v>110</v>
      </c>
      <c r="B111">
        <v>1020</v>
      </c>
      <c r="C111">
        <v>20</v>
      </c>
      <c r="D111">
        <v>21</v>
      </c>
      <c r="E111">
        <v>5</v>
      </c>
      <c r="F111">
        <v>10000</v>
      </c>
      <c r="G111">
        <v>950.476340208235</v>
      </c>
      <c r="H111">
        <v>0.23629916099036011</v>
      </c>
      <c r="I111">
        <v>0.29384382503270928</v>
      </c>
      <c r="J111">
        <f>50</f>
        <v>50</v>
      </c>
      <c r="K111">
        <v>0.6</v>
      </c>
    </row>
    <row r="112" spans="1:11" x14ac:dyDescent="0.25">
      <c r="A112">
        <v>111</v>
      </c>
      <c r="B112">
        <v>1040</v>
      </c>
      <c r="C112">
        <v>20</v>
      </c>
      <c r="D112">
        <v>21</v>
      </c>
      <c r="E112">
        <v>5</v>
      </c>
      <c r="F112">
        <v>10000</v>
      </c>
      <c r="G112">
        <v>958.49527326112525</v>
      </c>
      <c r="H112">
        <v>0.23629916099036011</v>
      </c>
      <c r="I112">
        <v>0.29384382503270928</v>
      </c>
      <c r="J112">
        <f>50</f>
        <v>50</v>
      </c>
      <c r="K112">
        <v>0.6</v>
      </c>
    </row>
    <row r="113" spans="1:11" x14ac:dyDescent="0.25">
      <c r="A113">
        <v>112</v>
      </c>
      <c r="B113">
        <v>1060</v>
      </c>
      <c r="C113">
        <v>20</v>
      </c>
      <c r="D113">
        <v>21</v>
      </c>
      <c r="E113">
        <v>5</v>
      </c>
      <c r="F113">
        <v>10000</v>
      </c>
      <c r="G113">
        <v>966.5142063140155</v>
      </c>
      <c r="H113">
        <v>0.23629916099036011</v>
      </c>
      <c r="I113">
        <v>0.29384382503270928</v>
      </c>
      <c r="J113">
        <f>50</f>
        <v>50</v>
      </c>
      <c r="K113">
        <v>0.6</v>
      </c>
    </row>
    <row r="114" spans="1:11" x14ac:dyDescent="0.25">
      <c r="A114">
        <v>113</v>
      </c>
      <c r="B114">
        <v>1080</v>
      </c>
      <c r="C114">
        <v>20</v>
      </c>
      <c r="D114">
        <v>21</v>
      </c>
      <c r="E114">
        <v>5</v>
      </c>
      <c r="F114">
        <v>10000</v>
      </c>
      <c r="G114">
        <v>974.53313936690574</v>
      </c>
      <c r="H114">
        <v>0.23629916099036011</v>
      </c>
      <c r="I114">
        <v>0.29384382503270928</v>
      </c>
      <c r="J114">
        <f>50</f>
        <v>50</v>
      </c>
      <c r="K114">
        <v>0.6</v>
      </c>
    </row>
    <row r="115" spans="1:11" x14ac:dyDescent="0.25">
      <c r="A115">
        <v>114</v>
      </c>
      <c r="B115">
        <v>1100</v>
      </c>
      <c r="C115">
        <v>20</v>
      </c>
      <c r="D115">
        <v>21</v>
      </c>
      <c r="E115">
        <v>5</v>
      </c>
      <c r="F115">
        <v>10000</v>
      </c>
      <c r="G115">
        <v>982.55207241979588</v>
      </c>
      <c r="H115">
        <v>0.23629916099036011</v>
      </c>
      <c r="I115">
        <v>0.29384382503270928</v>
      </c>
      <c r="J115">
        <f>50</f>
        <v>50</v>
      </c>
      <c r="K115">
        <v>0.6</v>
      </c>
    </row>
    <row r="116" spans="1:11" x14ac:dyDescent="0.25">
      <c r="A116">
        <v>115</v>
      </c>
      <c r="B116">
        <v>1120</v>
      </c>
      <c r="C116">
        <v>20</v>
      </c>
      <c r="D116">
        <v>21</v>
      </c>
      <c r="E116">
        <v>5</v>
      </c>
      <c r="F116">
        <v>10000</v>
      </c>
      <c r="G116">
        <v>990.57100547268624</v>
      </c>
      <c r="H116">
        <v>0.23629916099036011</v>
      </c>
      <c r="I116">
        <v>0.29384382503270928</v>
      </c>
      <c r="J116">
        <f>50</f>
        <v>50</v>
      </c>
      <c r="K116">
        <v>0.6</v>
      </c>
    </row>
    <row r="117" spans="1:11" x14ac:dyDescent="0.25">
      <c r="A117">
        <v>116</v>
      </c>
      <c r="B117">
        <v>1140</v>
      </c>
      <c r="C117">
        <v>20</v>
      </c>
      <c r="D117">
        <v>21</v>
      </c>
      <c r="E117">
        <v>5</v>
      </c>
      <c r="F117">
        <v>10000</v>
      </c>
      <c r="G117">
        <v>998.58993852557649</v>
      </c>
      <c r="H117">
        <v>0.23629916099036011</v>
      </c>
      <c r="I117">
        <v>0.29384382503270928</v>
      </c>
      <c r="J117">
        <f>50</f>
        <v>50</v>
      </c>
      <c r="K117">
        <v>0.6</v>
      </c>
    </row>
    <row r="118" spans="1:11" x14ac:dyDescent="0.25">
      <c r="A118">
        <v>117</v>
      </c>
      <c r="B118">
        <v>1160</v>
      </c>
      <c r="C118">
        <v>20</v>
      </c>
      <c r="D118">
        <v>21</v>
      </c>
      <c r="E118">
        <v>5</v>
      </c>
      <c r="F118">
        <v>10000</v>
      </c>
      <c r="G118">
        <v>1006.608871578467</v>
      </c>
      <c r="H118">
        <v>0.23629916099036011</v>
      </c>
      <c r="I118">
        <v>0.29384382503270928</v>
      </c>
      <c r="J118">
        <f>50</f>
        <v>50</v>
      </c>
      <c r="K118">
        <v>1</v>
      </c>
    </row>
    <row r="119" spans="1:11" x14ac:dyDescent="0.25">
      <c r="A119">
        <v>118</v>
      </c>
      <c r="B119">
        <v>1180</v>
      </c>
      <c r="C119">
        <v>20</v>
      </c>
      <c r="D119">
        <v>21</v>
      </c>
      <c r="E119">
        <v>5</v>
      </c>
      <c r="F119">
        <v>10000</v>
      </c>
      <c r="G119">
        <v>1014.627804631357</v>
      </c>
      <c r="H119">
        <v>0.23629916099036011</v>
      </c>
      <c r="I119">
        <v>0.29384382503270928</v>
      </c>
      <c r="J119">
        <f>50</f>
        <v>50</v>
      </c>
      <c r="K119">
        <v>1</v>
      </c>
    </row>
    <row r="120" spans="1:11" x14ac:dyDescent="0.25">
      <c r="A120">
        <v>119</v>
      </c>
      <c r="B120">
        <v>1200</v>
      </c>
      <c r="C120">
        <v>20</v>
      </c>
      <c r="D120">
        <v>21</v>
      </c>
      <c r="E120">
        <v>5</v>
      </c>
      <c r="F120">
        <v>10000</v>
      </c>
      <c r="G120">
        <v>1022.646737684247</v>
      </c>
      <c r="H120">
        <v>0.23629916099036011</v>
      </c>
      <c r="I120">
        <v>0.29384382503270928</v>
      </c>
      <c r="J120">
        <f>50</f>
        <v>50</v>
      </c>
      <c r="K120">
        <v>1</v>
      </c>
    </row>
    <row r="121" spans="1:11" x14ac:dyDescent="0.25">
      <c r="A121">
        <v>120</v>
      </c>
      <c r="B121">
        <v>1220</v>
      </c>
      <c r="C121">
        <v>20</v>
      </c>
      <c r="D121">
        <v>21</v>
      </c>
      <c r="E121">
        <v>5</v>
      </c>
      <c r="F121">
        <v>10000</v>
      </c>
      <c r="G121">
        <v>1030.6656707371369</v>
      </c>
      <c r="H121">
        <v>0.23629916099036011</v>
      </c>
      <c r="I121">
        <v>0.29384382503270928</v>
      </c>
      <c r="J121">
        <f>50</f>
        <v>50</v>
      </c>
      <c r="K121">
        <v>1</v>
      </c>
    </row>
    <row r="122" spans="1:11" x14ac:dyDescent="0.25">
      <c r="A122">
        <v>121</v>
      </c>
      <c r="B122">
        <v>1240</v>
      </c>
      <c r="C122">
        <v>20</v>
      </c>
      <c r="D122">
        <v>21</v>
      </c>
      <c r="E122">
        <v>5</v>
      </c>
      <c r="F122">
        <v>10000</v>
      </c>
      <c r="G122">
        <v>1038.684603790027</v>
      </c>
      <c r="H122">
        <v>0.23629916099036011</v>
      </c>
      <c r="I122">
        <v>0.29384382503270928</v>
      </c>
      <c r="J122">
        <f>50</f>
        <v>50</v>
      </c>
      <c r="K122">
        <v>1</v>
      </c>
    </row>
    <row r="123" spans="1:11" x14ac:dyDescent="0.25">
      <c r="A123">
        <v>122</v>
      </c>
      <c r="B123">
        <v>1260</v>
      </c>
      <c r="C123">
        <v>20</v>
      </c>
      <c r="D123">
        <v>21</v>
      </c>
      <c r="E123">
        <v>5</v>
      </c>
      <c r="F123">
        <v>10000</v>
      </c>
      <c r="G123">
        <v>1046.7035368429181</v>
      </c>
      <c r="H123">
        <v>0.23629916099036011</v>
      </c>
      <c r="I123">
        <v>0.29384382503270928</v>
      </c>
      <c r="J123">
        <f>50</f>
        <v>50</v>
      </c>
      <c r="K123">
        <v>1</v>
      </c>
    </row>
    <row r="124" spans="1:11" x14ac:dyDescent="0.25">
      <c r="A124">
        <v>123</v>
      </c>
      <c r="B124">
        <v>1280</v>
      </c>
      <c r="C124">
        <v>20</v>
      </c>
      <c r="D124">
        <v>21</v>
      </c>
      <c r="E124">
        <v>5</v>
      </c>
      <c r="F124">
        <v>10000</v>
      </c>
      <c r="G124">
        <v>1054.722469895808</v>
      </c>
      <c r="H124">
        <v>0.23629916099036011</v>
      </c>
      <c r="I124">
        <v>0.29384382503270928</v>
      </c>
      <c r="J124">
        <f>50</f>
        <v>50</v>
      </c>
      <c r="K124">
        <v>1</v>
      </c>
    </row>
    <row r="125" spans="1:11" x14ac:dyDescent="0.25">
      <c r="A125">
        <v>124</v>
      </c>
      <c r="B125">
        <v>1300</v>
      </c>
      <c r="C125">
        <v>20</v>
      </c>
      <c r="D125">
        <v>21</v>
      </c>
      <c r="E125">
        <v>5</v>
      </c>
      <c r="F125">
        <v>10000</v>
      </c>
      <c r="G125">
        <v>1062.7414029486979</v>
      </c>
      <c r="H125">
        <v>0.23629916099036011</v>
      </c>
      <c r="I125">
        <v>0.29384382503270928</v>
      </c>
      <c r="J125">
        <f>50</f>
        <v>50</v>
      </c>
      <c r="K125">
        <v>1</v>
      </c>
    </row>
    <row r="126" spans="1:11" x14ac:dyDescent="0.25">
      <c r="A126">
        <v>125</v>
      </c>
      <c r="B126">
        <v>1320</v>
      </c>
      <c r="C126">
        <v>20</v>
      </c>
      <c r="D126">
        <v>21</v>
      </c>
      <c r="E126">
        <v>5</v>
      </c>
      <c r="F126">
        <v>10000</v>
      </c>
      <c r="G126">
        <v>1070.760336001588</v>
      </c>
      <c r="H126">
        <v>0.23629916099036011</v>
      </c>
      <c r="I126">
        <v>0.29384382503270928</v>
      </c>
      <c r="J126">
        <f>50</f>
        <v>50</v>
      </c>
      <c r="K126">
        <v>1</v>
      </c>
    </row>
    <row r="127" spans="1:11" x14ac:dyDescent="0.25">
      <c r="A127">
        <v>126</v>
      </c>
      <c r="B127">
        <v>1340</v>
      </c>
      <c r="C127">
        <v>20</v>
      </c>
      <c r="D127">
        <v>21</v>
      </c>
      <c r="E127">
        <v>5</v>
      </c>
      <c r="F127">
        <v>10000</v>
      </c>
      <c r="G127">
        <v>1078.7792690544791</v>
      </c>
      <c r="H127">
        <v>0.23629916099036011</v>
      </c>
      <c r="I127">
        <v>0.29384382503270928</v>
      </c>
      <c r="J127">
        <f>50</f>
        <v>50</v>
      </c>
      <c r="K127">
        <v>1</v>
      </c>
    </row>
    <row r="128" spans="1:11" x14ac:dyDescent="0.25">
      <c r="A128">
        <v>127</v>
      </c>
      <c r="B128">
        <v>1360</v>
      </c>
      <c r="C128">
        <v>20</v>
      </c>
      <c r="D128">
        <v>21</v>
      </c>
      <c r="E128">
        <v>5</v>
      </c>
      <c r="F128">
        <v>10000</v>
      </c>
      <c r="G128">
        <v>1086.798202107369</v>
      </c>
      <c r="H128">
        <v>0.23629916099036011</v>
      </c>
      <c r="I128">
        <v>0.29384382503270928</v>
      </c>
      <c r="J128">
        <f>50</f>
        <v>50</v>
      </c>
      <c r="K128">
        <v>1</v>
      </c>
    </row>
    <row r="129" spans="1:11" x14ac:dyDescent="0.25">
      <c r="A129">
        <v>128</v>
      </c>
      <c r="B129">
        <v>1380</v>
      </c>
      <c r="C129">
        <v>20</v>
      </c>
      <c r="D129">
        <v>21</v>
      </c>
      <c r="E129">
        <v>5</v>
      </c>
      <c r="F129">
        <v>10000</v>
      </c>
      <c r="G129">
        <v>1094.8171351602591</v>
      </c>
      <c r="H129">
        <v>0.23629916099036011</v>
      </c>
      <c r="I129">
        <v>0.29384382503270928</v>
      </c>
      <c r="J129">
        <f>50</f>
        <v>50</v>
      </c>
      <c r="K129">
        <v>1</v>
      </c>
    </row>
    <row r="130" spans="1:11" x14ac:dyDescent="0.25">
      <c r="A130">
        <v>129</v>
      </c>
      <c r="B130">
        <v>1400</v>
      </c>
      <c r="C130">
        <v>20</v>
      </c>
      <c r="D130">
        <v>21</v>
      </c>
      <c r="E130">
        <v>5</v>
      </c>
      <c r="F130">
        <v>10000</v>
      </c>
      <c r="G130">
        <v>1102.836068213149</v>
      </c>
      <c r="H130">
        <v>0.23629916099036011</v>
      </c>
      <c r="I130">
        <v>0.29384382503270928</v>
      </c>
      <c r="J130">
        <f>50</f>
        <v>50</v>
      </c>
      <c r="K130">
        <v>1</v>
      </c>
    </row>
    <row r="131" spans="1:11" x14ac:dyDescent="0.25">
      <c r="A131">
        <v>130</v>
      </c>
      <c r="B131">
        <v>1420</v>
      </c>
      <c r="C131">
        <v>20</v>
      </c>
      <c r="D131">
        <v>21</v>
      </c>
      <c r="E131">
        <v>5</v>
      </c>
      <c r="F131">
        <v>10000</v>
      </c>
      <c r="G131">
        <v>1110.8550012660401</v>
      </c>
      <c r="H131">
        <v>0.23629916099036011</v>
      </c>
      <c r="I131">
        <v>0.29384382503270928</v>
      </c>
      <c r="J131">
        <f>50</f>
        <v>50</v>
      </c>
      <c r="K131">
        <v>1</v>
      </c>
    </row>
    <row r="132" spans="1:11" x14ac:dyDescent="0.25">
      <c r="A132">
        <v>131</v>
      </c>
      <c r="B132">
        <v>1440</v>
      </c>
      <c r="C132">
        <v>20</v>
      </c>
      <c r="D132">
        <v>21</v>
      </c>
      <c r="E132">
        <v>5</v>
      </c>
      <c r="F132">
        <v>10000</v>
      </c>
      <c r="G132">
        <v>1118.87393431893</v>
      </c>
      <c r="H132">
        <v>0.23629916099036011</v>
      </c>
      <c r="I132">
        <v>0.29384382503270928</v>
      </c>
      <c r="J132">
        <f>50</f>
        <v>50</v>
      </c>
      <c r="K132">
        <v>1</v>
      </c>
    </row>
    <row r="133" spans="1:11" x14ac:dyDescent="0.25">
      <c r="A133">
        <v>132</v>
      </c>
      <c r="B133">
        <v>1460</v>
      </c>
      <c r="C133">
        <v>20</v>
      </c>
      <c r="D133">
        <v>21</v>
      </c>
      <c r="E133">
        <v>5</v>
      </c>
      <c r="F133">
        <v>10000</v>
      </c>
      <c r="G133">
        <v>1126.8928673718201</v>
      </c>
      <c r="H133">
        <v>0.23629916099036011</v>
      </c>
      <c r="I133">
        <v>0.29384382503270928</v>
      </c>
      <c r="J133">
        <f>50</f>
        <v>50</v>
      </c>
      <c r="K133">
        <v>1</v>
      </c>
    </row>
    <row r="134" spans="1:11" x14ac:dyDescent="0.25">
      <c r="A134">
        <v>133</v>
      </c>
      <c r="B134">
        <v>1480</v>
      </c>
      <c r="C134">
        <v>20</v>
      </c>
      <c r="D134">
        <v>21</v>
      </c>
      <c r="E134">
        <v>5</v>
      </c>
      <c r="F134">
        <v>10000</v>
      </c>
      <c r="G134">
        <v>1134.91180042471</v>
      </c>
      <c r="H134">
        <v>0.23629916099036011</v>
      </c>
      <c r="I134">
        <v>0.29384382503270928</v>
      </c>
      <c r="J134">
        <f>50</f>
        <v>50</v>
      </c>
      <c r="K134">
        <v>1</v>
      </c>
    </row>
    <row r="135" spans="1:11" x14ac:dyDescent="0.25">
      <c r="A135">
        <v>134</v>
      </c>
      <c r="B135">
        <v>1500</v>
      </c>
      <c r="C135">
        <v>20</v>
      </c>
      <c r="D135">
        <v>21</v>
      </c>
      <c r="E135">
        <v>5</v>
      </c>
      <c r="F135">
        <v>10000</v>
      </c>
      <c r="G135">
        <v>1142.9307334776011</v>
      </c>
      <c r="H135">
        <v>0.23629916099036011</v>
      </c>
      <c r="I135">
        <v>0.29384382503270928</v>
      </c>
      <c r="J135">
        <f>50</f>
        <v>50</v>
      </c>
      <c r="K135">
        <v>1</v>
      </c>
    </row>
    <row r="136" spans="1:11" x14ac:dyDescent="0.25">
      <c r="A136">
        <v>135</v>
      </c>
      <c r="B136">
        <v>1520</v>
      </c>
      <c r="C136">
        <v>20</v>
      </c>
      <c r="D136">
        <v>21</v>
      </c>
      <c r="E136">
        <v>5</v>
      </c>
      <c r="F136">
        <v>10000</v>
      </c>
      <c r="G136">
        <v>1150.949666530491</v>
      </c>
      <c r="H136">
        <v>0.23629916099036011</v>
      </c>
      <c r="I136">
        <v>0.29384382503270928</v>
      </c>
      <c r="J136">
        <f>50</f>
        <v>50</v>
      </c>
      <c r="K136">
        <v>1</v>
      </c>
    </row>
    <row r="137" spans="1:11" x14ac:dyDescent="0.25">
      <c r="A137">
        <v>136</v>
      </c>
      <c r="B137">
        <v>1540</v>
      </c>
      <c r="C137">
        <v>20</v>
      </c>
      <c r="D137">
        <v>21</v>
      </c>
      <c r="E137">
        <v>5</v>
      </c>
      <c r="F137">
        <v>10000</v>
      </c>
      <c r="G137">
        <v>1158.9685995833811</v>
      </c>
      <c r="H137">
        <v>0.23629916099036011</v>
      </c>
      <c r="I137">
        <v>0.29384382503270928</v>
      </c>
      <c r="J137">
        <f>50</f>
        <v>50</v>
      </c>
      <c r="K137">
        <v>1</v>
      </c>
    </row>
    <row r="138" spans="1:11" x14ac:dyDescent="0.25">
      <c r="A138">
        <v>137</v>
      </c>
      <c r="B138">
        <v>1560</v>
      </c>
      <c r="C138">
        <v>20</v>
      </c>
      <c r="D138">
        <v>21</v>
      </c>
      <c r="E138">
        <v>5</v>
      </c>
      <c r="F138">
        <v>10000</v>
      </c>
      <c r="G138">
        <v>1166.987532636271</v>
      </c>
      <c r="H138">
        <v>0.23629916099036011</v>
      </c>
      <c r="I138">
        <v>0.29384382503270928</v>
      </c>
      <c r="J138">
        <f>50</f>
        <v>50</v>
      </c>
      <c r="K138">
        <v>1</v>
      </c>
    </row>
    <row r="139" spans="1:11" x14ac:dyDescent="0.25">
      <c r="A139">
        <v>138</v>
      </c>
      <c r="B139">
        <v>1580</v>
      </c>
      <c r="C139">
        <v>20</v>
      </c>
      <c r="D139">
        <v>21</v>
      </c>
      <c r="E139">
        <v>5</v>
      </c>
      <c r="F139">
        <v>10000</v>
      </c>
      <c r="G139">
        <v>1175.0064656891609</v>
      </c>
      <c r="H139">
        <v>0.23629916099036011</v>
      </c>
      <c r="I139">
        <v>0.29384382503270928</v>
      </c>
      <c r="J139">
        <f>50</f>
        <v>50</v>
      </c>
      <c r="K139">
        <v>1</v>
      </c>
    </row>
    <row r="140" spans="1:11" x14ac:dyDescent="0.25">
      <c r="A140">
        <v>139</v>
      </c>
      <c r="B140">
        <v>1600</v>
      </c>
      <c r="C140">
        <v>20</v>
      </c>
      <c r="D140">
        <v>21</v>
      </c>
      <c r="E140">
        <v>5</v>
      </c>
      <c r="F140">
        <v>10000</v>
      </c>
      <c r="G140">
        <v>1183.0253987420519</v>
      </c>
      <c r="H140">
        <v>0.23629916099036011</v>
      </c>
      <c r="I140">
        <v>0.29384382503270928</v>
      </c>
      <c r="J140">
        <f>50</f>
        <v>50</v>
      </c>
      <c r="K140">
        <v>1</v>
      </c>
    </row>
    <row r="141" spans="1:11" x14ac:dyDescent="0.25">
      <c r="A141">
        <v>140</v>
      </c>
      <c r="B141">
        <v>1620</v>
      </c>
      <c r="C141">
        <v>20</v>
      </c>
      <c r="D141">
        <v>21</v>
      </c>
      <c r="E141">
        <v>5</v>
      </c>
      <c r="F141">
        <v>10000</v>
      </c>
      <c r="G141">
        <v>1191.0443317949421</v>
      </c>
      <c r="H141">
        <v>0.23629916099036011</v>
      </c>
      <c r="I141">
        <v>0.29384382503270928</v>
      </c>
      <c r="J141">
        <f>50</f>
        <v>50</v>
      </c>
      <c r="K141">
        <v>1</v>
      </c>
    </row>
    <row r="142" spans="1:11" x14ac:dyDescent="0.25">
      <c r="A142">
        <v>141</v>
      </c>
      <c r="B142">
        <v>1640</v>
      </c>
      <c r="C142">
        <v>20</v>
      </c>
      <c r="D142">
        <v>21</v>
      </c>
      <c r="E142">
        <v>5</v>
      </c>
      <c r="F142">
        <v>10000</v>
      </c>
      <c r="G142">
        <v>1199.063264847832</v>
      </c>
      <c r="H142">
        <v>0.23629916099036011</v>
      </c>
      <c r="I142">
        <v>0.29384382503270928</v>
      </c>
      <c r="J142">
        <f>50</f>
        <v>50</v>
      </c>
      <c r="K142">
        <v>1</v>
      </c>
    </row>
    <row r="143" spans="1:11" x14ac:dyDescent="0.25">
      <c r="A143">
        <v>142</v>
      </c>
      <c r="B143">
        <v>1660</v>
      </c>
      <c r="C143">
        <v>20</v>
      </c>
      <c r="D143">
        <v>21</v>
      </c>
      <c r="E143">
        <v>5</v>
      </c>
      <c r="F143">
        <v>10000</v>
      </c>
      <c r="G143">
        <v>1207.0821979007219</v>
      </c>
      <c r="H143">
        <v>0.23629916099036011</v>
      </c>
      <c r="I143">
        <v>0.29384382503270928</v>
      </c>
      <c r="J143">
        <f>50</f>
        <v>50</v>
      </c>
      <c r="K143">
        <v>1</v>
      </c>
    </row>
    <row r="144" spans="1:11" x14ac:dyDescent="0.25">
      <c r="A144">
        <v>143</v>
      </c>
      <c r="B144">
        <v>1680</v>
      </c>
      <c r="C144">
        <v>20</v>
      </c>
      <c r="D144">
        <v>21</v>
      </c>
      <c r="E144">
        <v>5</v>
      </c>
      <c r="F144">
        <v>10000</v>
      </c>
      <c r="G144">
        <v>1215.1011309536129</v>
      </c>
      <c r="H144">
        <v>0.23629916099036011</v>
      </c>
      <c r="I144">
        <v>0.29384382503270928</v>
      </c>
      <c r="J144">
        <f>50</f>
        <v>50</v>
      </c>
      <c r="K144">
        <v>1</v>
      </c>
    </row>
    <row r="145" spans="1:11" x14ac:dyDescent="0.25">
      <c r="A145">
        <v>144</v>
      </c>
      <c r="B145">
        <v>1700</v>
      </c>
      <c r="C145">
        <v>20</v>
      </c>
      <c r="D145">
        <v>21</v>
      </c>
      <c r="E145">
        <v>5</v>
      </c>
      <c r="F145">
        <v>10000</v>
      </c>
      <c r="G145">
        <v>1223.1200640065031</v>
      </c>
      <c r="H145">
        <v>0.23629916099036011</v>
      </c>
      <c r="I145">
        <v>0.29384382503270928</v>
      </c>
      <c r="J145">
        <f>50</f>
        <v>50</v>
      </c>
      <c r="K145">
        <v>1</v>
      </c>
    </row>
    <row r="146" spans="1:11" x14ac:dyDescent="0.25">
      <c r="A146">
        <v>145</v>
      </c>
      <c r="B146">
        <v>1720</v>
      </c>
      <c r="C146">
        <v>20</v>
      </c>
      <c r="D146">
        <v>21</v>
      </c>
      <c r="E146">
        <v>5</v>
      </c>
      <c r="F146">
        <v>10000</v>
      </c>
      <c r="G146">
        <v>1231.138997059393</v>
      </c>
      <c r="H146">
        <v>0.23629916099036011</v>
      </c>
      <c r="I146">
        <v>0.29384382503270928</v>
      </c>
      <c r="J146">
        <f>50</f>
        <v>50</v>
      </c>
      <c r="K146">
        <v>1</v>
      </c>
    </row>
    <row r="147" spans="1:11" x14ac:dyDescent="0.25">
      <c r="A147">
        <v>146</v>
      </c>
      <c r="B147">
        <v>1740</v>
      </c>
      <c r="C147">
        <v>20</v>
      </c>
      <c r="D147">
        <v>21</v>
      </c>
      <c r="E147">
        <v>5</v>
      </c>
      <c r="F147">
        <v>10000</v>
      </c>
      <c r="G147">
        <v>1239.1579301122831</v>
      </c>
      <c r="H147">
        <v>0.23629916099036011</v>
      </c>
      <c r="I147">
        <v>0.29384382503270928</v>
      </c>
      <c r="J147">
        <f>50</f>
        <v>50</v>
      </c>
      <c r="K147">
        <v>1</v>
      </c>
    </row>
    <row r="148" spans="1:11" x14ac:dyDescent="0.25">
      <c r="A148">
        <v>147</v>
      </c>
      <c r="B148">
        <v>1760</v>
      </c>
      <c r="C148">
        <v>20</v>
      </c>
      <c r="D148">
        <v>21</v>
      </c>
      <c r="E148">
        <v>5</v>
      </c>
      <c r="F148">
        <v>10000</v>
      </c>
      <c r="G148">
        <v>1247.176863165173</v>
      </c>
      <c r="H148">
        <v>0.23629916099036011</v>
      </c>
      <c r="I148">
        <v>0.29384382503270928</v>
      </c>
      <c r="J148">
        <f>50</f>
        <v>50</v>
      </c>
      <c r="K148">
        <v>1</v>
      </c>
    </row>
    <row r="149" spans="1:11" x14ac:dyDescent="0.25">
      <c r="A149">
        <v>148</v>
      </c>
      <c r="B149">
        <v>1780</v>
      </c>
      <c r="C149">
        <v>20</v>
      </c>
      <c r="D149">
        <v>21</v>
      </c>
      <c r="E149">
        <v>5</v>
      </c>
      <c r="F149">
        <v>10000</v>
      </c>
      <c r="G149">
        <v>1255.1957962180641</v>
      </c>
      <c r="H149">
        <v>0.23629916099036011</v>
      </c>
      <c r="I149">
        <v>0.29384382503270928</v>
      </c>
      <c r="J149">
        <f>50</f>
        <v>50</v>
      </c>
      <c r="K149">
        <v>1</v>
      </c>
    </row>
    <row r="150" spans="1:11" x14ac:dyDescent="0.25">
      <c r="A150">
        <v>149</v>
      </c>
      <c r="B150">
        <v>1800</v>
      </c>
      <c r="C150">
        <v>20</v>
      </c>
      <c r="D150">
        <v>21</v>
      </c>
      <c r="E150">
        <v>5</v>
      </c>
      <c r="F150">
        <v>10000</v>
      </c>
      <c r="G150">
        <v>1263.214729270954</v>
      </c>
      <c r="H150">
        <v>0.23629916099036011</v>
      </c>
      <c r="I150">
        <v>0.29384382503270928</v>
      </c>
      <c r="J150">
        <f>50</f>
        <v>50</v>
      </c>
      <c r="K150">
        <v>1</v>
      </c>
    </row>
    <row r="151" spans="1:11" x14ac:dyDescent="0.25">
      <c r="A151">
        <v>150</v>
      </c>
      <c r="B151">
        <v>1820</v>
      </c>
      <c r="C151">
        <v>20</v>
      </c>
      <c r="D151">
        <v>21</v>
      </c>
      <c r="E151">
        <v>5</v>
      </c>
      <c r="F151">
        <v>10000</v>
      </c>
      <c r="G151">
        <v>1271.2336623238441</v>
      </c>
      <c r="H151">
        <v>0.23629916099036011</v>
      </c>
      <c r="I151">
        <v>0.29384382503270928</v>
      </c>
      <c r="J151">
        <f>50</f>
        <v>50</v>
      </c>
      <c r="K151">
        <v>1</v>
      </c>
    </row>
    <row r="152" spans="1:11" x14ac:dyDescent="0.25">
      <c r="A152">
        <v>151</v>
      </c>
      <c r="B152">
        <v>1840</v>
      </c>
      <c r="C152">
        <v>20</v>
      </c>
      <c r="D152">
        <v>21</v>
      </c>
      <c r="E152">
        <v>5</v>
      </c>
      <c r="F152">
        <v>10000</v>
      </c>
      <c r="G152">
        <v>1279.252595376734</v>
      </c>
      <c r="H152">
        <v>0.23629916099036011</v>
      </c>
      <c r="I152">
        <v>0.29384382503270928</v>
      </c>
      <c r="J152">
        <f>50</f>
        <v>50</v>
      </c>
      <c r="K152">
        <v>1</v>
      </c>
    </row>
    <row r="153" spans="1:11" x14ac:dyDescent="0.25">
      <c r="A153">
        <v>152</v>
      </c>
      <c r="B153">
        <v>1860</v>
      </c>
      <c r="C153">
        <v>20</v>
      </c>
      <c r="D153">
        <v>21</v>
      </c>
      <c r="E153">
        <v>5</v>
      </c>
      <c r="F153">
        <v>10000</v>
      </c>
      <c r="G153">
        <v>1287.2715284296251</v>
      </c>
      <c r="H153">
        <v>0.23629916099036011</v>
      </c>
      <c r="I153">
        <v>0.29384382503270928</v>
      </c>
      <c r="J153">
        <f>50</f>
        <v>50</v>
      </c>
      <c r="K153">
        <v>1</v>
      </c>
    </row>
    <row r="154" spans="1:11" x14ac:dyDescent="0.25">
      <c r="A154">
        <v>153</v>
      </c>
      <c r="B154">
        <v>1880</v>
      </c>
      <c r="C154">
        <v>20</v>
      </c>
      <c r="D154">
        <v>21</v>
      </c>
      <c r="E154">
        <v>5</v>
      </c>
      <c r="F154">
        <v>10000</v>
      </c>
      <c r="G154">
        <v>1295.290461482515</v>
      </c>
      <c r="H154">
        <v>0.23629916099036011</v>
      </c>
      <c r="I154">
        <v>0.29384382503270928</v>
      </c>
      <c r="J154">
        <f>50</f>
        <v>50</v>
      </c>
      <c r="K154">
        <v>1</v>
      </c>
    </row>
    <row r="155" spans="1:11" x14ac:dyDescent="0.25">
      <c r="A155">
        <v>154</v>
      </c>
      <c r="B155">
        <v>1900</v>
      </c>
      <c r="C155">
        <v>20</v>
      </c>
      <c r="D155">
        <v>21</v>
      </c>
      <c r="E155">
        <v>5</v>
      </c>
      <c r="F155">
        <v>10000</v>
      </c>
      <c r="G155">
        <v>1303.3093945354051</v>
      </c>
      <c r="H155">
        <v>0.23629916099036011</v>
      </c>
      <c r="I155">
        <v>0.29384382503270928</v>
      </c>
      <c r="J155">
        <f>50</f>
        <v>50</v>
      </c>
      <c r="K155">
        <v>1</v>
      </c>
    </row>
    <row r="156" spans="1:11" x14ac:dyDescent="0.25">
      <c r="A156">
        <v>155</v>
      </c>
      <c r="B156">
        <v>1920</v>
      </c>
      <c r="C156">
        <v>20</v>
      </c>
      <c r="D156">
        <v>21</v>
      </c>
      <c r="E156">
        <v>5</v>
      </c>
      <c r="F156">
        <v>10000</v>
      </c>
      <c r="G156">
        <v>1311.328327588295</v>
      </c>
      <c r="H156">
        <v>0.23629916099036011</v>
      </c>
      <c r="I156">
        <v>0.29384382503270928</v>
      </c>
      <c r="J156">
        <f>50</f>
        <v>50</v>
      </c>
      <c r="K156">
        <v>1</v>
      </c>
    </row>
    <row r="157" spans="1:11" x14ac:dyDescent="0.25">
      <c r="A157">
        <v>156</v>
      </c>
      <c r="B157">
        <v>1940</v>
      </c>
      <c r="C157">
        <v>20</v>
      </c>
      <c r="D157">
        <v>21</v>
      </c>
      <c r="E157">
        <v>5</v>
      </c>
      <c r="F157">
        <v>10000</v>
      </c>
      <c r="G157">
        <v>1319.347260641186</v>
      </c>
      <c r="H157">
        <v>0.23629916099036011</v>
      </c>
      <c r="I157">
        <v>0.29384382503270928</v>
      </c>
      <c r="J157">
        <f>50</f>
        <v>50</v>
      </c>
      <c r="K157">
        <v>1</v>
      </c>
    </row>
    <row r="158" spans="1:11" x14ac:dyDescent="0.25">
      <c r="A158">
        <v>157</v>
      </c>
      <c r="B158">
        <v>1960</v>
      </c>
      <c r="C158">
        <v>20</v>
      </c>
      <c r="D158">
        <v>21</v>
      </c>
      <c r="E158">
        <v>5</v>
      </c>
      <c r="F158">
        <v>10000</v>
      </c>
      <c r="G158">
        <v>1327.3661936940759</v>
      </c>
      <c r="H158">
        <v>0.23629916099036011</v>
      </c>
      <c r="I158">
        <v>0.29384382503270928</v>
      </c>
      <c r="J158">
        <f>50</f>
        <v>50</v>
      </c>
      <c r="K158">
        <v>1</v>
      </c>
    </row>
    <row r="159" spans="1:11" x14ac:dyDescent="0.25">
      <c r="A159">
        <v>158</v>
      </c>
      <c r="B159">
        <v>1980</v>
      </c>
      <c r="C159">
        <v>20</v>
      </c>
      <c r="D159">
        <v>21</v>
      </c>
      <c r="E159">
        <v>5</v>
      </c>
      <c r="F159">
        <v>10000</v>
      </c>
      <c r="G159">
        <v>1335.3851267469661</v>
      </c>
      <c r="H159">
        <v>0.23629916099036011</v>
      </c>
      <c r="I159">
        <v>0.29384382503270928</v>
      </c>
      <c r="J159">
        <f>50</f>
        <v>50</v>
      </c>
      <c r="K159">
        <v>1</v>
      </c>
    </row>
    <row r="160" spans="1:11" x14ac:dyDescent="0.25">
      <c r="A160">
        <v>159</v>
      </c>
      <c r="B160">
        <v>2000</v>
      </c>
      <c r="C160">
        <v>20</v>
      </c>
      <c r="D160">
        <v>21</v>
      </c>
      <c r="E160">
        <v>5</v>
      </c>
      <c r="F160">
        <v>10000</v>
      </c>
      <c r="G160">
        <v>1343.404059799856</v>
      </c>
      <c r="H160">
        <v>0.23629916099036011</v>
      </c>
      <c r="I160">
        <v>0.29384382503270928</v>
      </c>
      <c r="J160">
        <f>50</f>
        <v>50</v>
      </c>
      <c r="K160">
        <v>1</v>
      </c>
    </row>
    <row r="161" spans="1:11" x14ac:dyDescent="0.25">
      <c r="A161">
        <v>160</v>
      </c>
      <c r="B161">
        <v>2030</v>
      </c>
      <c r="C161">
        <v>40</v>
      </c>
      <c r="D161">
        <v>21</v>
      </c>
      <c r="E161">
        <v>5</v>
      </c>
      <c r="F161">
        <v>10000</v>
      </c>
      <c r="G161">
        <v>1355.4324593791921</v>
      </c>
      <c r="H161">
        <v>0.23629916099036011</v>
      </c>
      <c r="I161">
        <v>0.29384382503270928</v>
      </c>
      <c r="J161">
        <f>50</f>
        <v>50</v>
      </c>
      <c r="K161">
        <v>1</v>
      </c>
    </row>
    <row r="162" spans="1:11" x14ac:dyDescent="0.25">
      <c r="A162">
        <v>161</v>
      </c>
      <c r="B162">
        <v>2070</v>
      </c>
      <c r="C162">
        <v>40</v>
      </c>
      <c r="D162">
        <v>21</v>
      </c>
      <c r="E162">
        <v>5</v>
      </c>
      <c r="F162">
        <v>20000</v>
      </c>
      <c r="G162">
        <v>1371.4703254849719</v>
      </c>
      <c r="H162">
        <v>0.19319441987082281</v>
      </c>
      <c r="I162">
        <v>0.24024201809220019</v>
      </c>
      <c r="J162">
        <f>50</f>
        <v>50</v>
      </c>
      <c r="K162">
        <v>1</v>
      </c>
    </row>
    <row r="163" spans="1:11" x14ac:dyDescent="0.25">
      <c r="A163">
        <v>162</v>
      </c>
      <c r="B163">
        <v>2110</v>
      </c>
      <c r="C163">
        <v>40</v>
      </c>
      <c r="D163">
        <v>21</v>
      </c>
      <c r="E163">
        <v>5</v>
      </c>
      <c r="F163">
        <v>20000</v>
      </c>
      <c r="G163">
        <v>1387.5081915907531</v>
      </c>
      <c r="H163">
        <v>0.19319441987082281</v>
      </c>
      <c r="I163">
        <v>0.24024201809220019</v>
      </c>
      <c r="J163">
        <f>50</f>
        <v>50</v>
      </c>
      <c r="K163">
        <v>1</v>
      </c>
    </row>
    <row r="164" spans="1:11" x14ac:dyDescent="0.25">
      <c r="A164">
        <v>163</v>
      </c>
      <c r="B164">
        <v>2150</v>
      </c>
      <c r="C164">
        <v>40</v>
      </c>
      <c r="D164">
        <v>21</v>
      </c>
      <c r="E164">
        <v>5</v>
      </c>
      <c r="F164">
        <v>20000</v>
      </c>
      <c r="G164">
        <v>1403.5460576965329</v>
      </c>
      <c r="H164">
        <v>0.19319441987082281</v>
      </c>
      <c r="I164">
        <v>0.24024201809220019</v>
      </c>
      <c r="J164">
        <f>50</f>
        <v>50</v>
      </c>
      <c r="K164">
        <v>1</v>
      </c>
    </row>
    <row r="165" spans="1:11" x14ac:dyDescent="0.25">
      <c r="A165">
        <v>164</v>
      </c>
      <c r="B165">
        <v>2190</v>
      </c>
      <c r="C165">
        <v>40</v>
      </c>
      <c r="D165">
        <v>21</v>
      </c>
      <c r="E165">
        <v>5</v>
      </c>
      <c r="F165">
        <v>20000</v>
      </c>
      <c r="G165">
        <v>1419.5839238023141</v>
      </c>
      <c r="H165">
        <v>0.19319441987082281</v>
      </c>
      <c r="I165">
        <v>0.24024201809220019</v>
      </c>
      <c r="J165">
        <f>50</f>
        <v>50</v>
      </c>
      <c r="K165">
        <v>1</v>
      </c>
    </row>
    <row r="166" spans="1:11" x14ac:dyDescent="0.25">
      <c r="A166">
        <v>165</v>
      </c>
      <c r="B166">
        <v>2230</v>
      </c>
      <c r="C166">
        <v>40</v>
      </c>
      <c r="D166">
        <v>21</v>
      </c>
      <c r="E166">
        <v>5</v>
      </c>
      <c r="F166">
        <v>20000</v>
      </c>
      <c r="G166">
        <v>1435.6217899080939</v>
      </c>
      <c r="H166">
        <v>0.19319441987082281</v>
      </c>
      <c r="I166">
        <v>0.24024201809220019</v>
      </c>
      <c r="J166">
        <f>50</f>
        <v>50</v>
      </c>
      <c r="K166">
        <v>1</v>
      </c>
    </row>
    <row r="167" spans="1:11" x14ac:dyDescent="0.25">
      <c r="A167">
        <v>166</v>
      </c>
      <c r="B167">
        <v>2270</v>
      </c>
      <c r="C167">
        <v>40</v>
      </c>
      <c r="D167">
        <v>21</v>
      </c>
      <c r="E167">
        <v>5</v>
      </c>
      <c r="F167">
        <v>20000</v>
      </c>
      <c r="G167">
        <v>1451.6596560138751</v>
      </c>
      <c r="H167">
        <v>0.19319441987082281</v>
      </c>
      <c r="I167">
        <v>0.24024201809220019</v>
      </c>
      <c r="J167">
        <f>50</f>
        <v>50</v>
      </c>
      <c r="K167">
        <v>1</v>
      </c>
    </row>
    <row r="168" spans="1:11" x14ac:dyDescent="0.25">
      <c r="A168">
        <v>167</v>
      </c>
      <c r="B168">
        <v>2310</v>
      </c>
      <c r="C168">
        <v>40</v>
      </c>
      <c r="D168">
        <v>21</v>
      </c>
      <c r="E168">
        <v>5</v>
      </c>
      <c r="F168">
        <v>20000</v>
      </c>
      <c r="G168">
        <v>1467.6975221196551</v>
      </c>
      <c r="H168">
        <v>0.19319441987082281</v>
      </c>
      <c r="I168">
        <v>0.24024201809220019</v>
      </c>
      <c r="J168">
        <f>50</f>
        <v>50</v>
      </c>
      <c r="K168">
        <v>1</v>
      </c>
    </row>
    <row r="169" spans="1:11" x14ac:dyDescent="0.25">
      <c r="A169">
        <v>168</v>
      </c>
      <c r="B169">
        <v>2350</v>
      </c>
      <c r="C169">
        <v>40</v>
      </c>
      <c r="D169">
        <v>21</v>
      </c>
      <c r="E169">
        <v>5</v>
      </c>
      <c r="F169">
        <v>20000</v>
      </c>
      <c r="G169">
        <v>1483.7353882254361</v>
      </c>
      <c r="H169">
        <v>0.19319441987082281</v>
      </c>
      <c r="I169">
        <v>0.24024201809220019</v>
      </c>
      <c r="J169">
        <f>50</f>
        <v>50</v>
      </c>
      <c r="K169">
        <v>1</v>
      </c>
    </row>
    <row r="170" spans="1:11" x14ac:dyDescent="0.25">
      <c r="A170">
        <v>169</v>
      </c>
      <c r="B170">
        <v>2390</v>
      </c>
      <c r="C170">
        <v>40</v>
      </c>
      <c r="D170">
        <v>21</v>
      </c>
      <c r="E170">
        <v>5</v>
      </c>
      <c r="F170">
        <v>20000</v>
      </c>
      <c r="G170">
        <v>1499.7732543312161</v>
      </c>
      <c r="H170">
        <v>0.19319441987082281</v>
      </c>
      <c r="I170">
        <v>0.24024201809220019</v>
      </c>
      <c r="J170">
        <f>50</f>
        <v>50</v>
      </c>
      <c r="K170">
        <v>1</v>
      </c>
    </row>
    <row r="171" spans="1:11" x14ac:dyDescent="0.25">
      <c r="A171">
        <v>170</v>
      </c>
      <c r="B171">
        <v>2430</v>
      </c>
      <c r="C171">
        <v>40</v>
      </c>
      <c r="D171">
        <v>21</v>
      </c>
      <c r="E171">
        <v>5</v>
      </c>
      <c r="F171">
        <v>20000</v>
      </c>
      <c r="G171">
        <v>1515.8111204369959</v>
      </c>
      <c r="H171">
        <v>0.19319441987082281</v>
      </c>
      <c r="I171">
        <v>0.24024201809220019</v>
      </c>
      <c r="J171">
        <f>50</f>
        <v>50</v>
      </c>
      <c r="K171">
        <v>1</v>
      </c>
    </row>
    <row r="172" spans="1:11" x14ac:dyDescent="0.25">
      <c r="A172">
        <v>171</v>
      </c>
      <c r="B172">
        <v>2470</v>
      </c>
      <c r="C172">
        <v>40</v>
      </c>
      <c r="D172">
        <v>21</v>
      </c>
      <c r="E172">
        <v>5</v>
      </c>
      <c r="F172">
        <v>20000</v>
      </c>
      <c r="G172">
        <v>1531.8489865427771</v>
      </c>
      <c r="H172">
        <v>0.19319441987082281</v>
      </c>
      <c r="I172">
        <v>0.24024201809220019</v>
      </c>
      <c r="J172">
        <f>50</f>
        <v>50</v>
      </c>
      <c r="K172">
        <v>1</v>
      </c>
    </row>
    <row r="173" spans="1:11" x14ac:dyDescent="0.25">
      <c r="A173">
        <v>172</v>
      </c>
      <c r="B173">
        <v>2510</v>
      </c>
      <c r="C173">
        <v>40</v>
      </c>
      <c r="D173">
        <v>21</v>
      </c>
      <c r="E173">
        <v>5</v>
      </c>
      <c r="F173">
        <v>20000</v>
      </c>
      <c r="G173">
        <v>1547.8868526485569</v>
      </c>
      <c r="H173">
        <v>0.19319441987082281</v>
      </c>
      <c r="I173">
        <v>0.24024201809220019</v>
      </c>
      <c r="J173">
        <f>50</f>
        <v>50</v>
      </c>
      <c r="K173">
        <v>1</v>
      </c>
    </row>
    <row r="174" spans="1:11" x14ac:dyDescent="0.25">
      <c r="A174">
        <v>173</v>
      </c>
      <c r="B174">
        <v>2550</v>
      </c>
      <c r="C174">
        <v>40</v>
      </c>
      <c r="D174">
        <v>21</v>
      </c>
      <c r="E174">
        <v>5</v>
      </c>
      <c r="F174">
        <v>20000</v>
      </c>
      <c r="G174">
        <v>1563.9247187543381</v>
      </c>
      <c r="H174">
        <v>0.19319441987082281</v>
      </c>
      <c r="I174">
        <v>0.24024201809220019</v>
      </c>
      <c r="J174">
        <f>50</f>
        <v>50</v>
      </c>
      <c r="K174">
        <v>1</v>
      </c>
    </row>
    <row r="175" spans="1:11" x14ac:dyDescent="0.25">
      <c r="A175">
        <v>174</v>
      </c>
      <c r="B175">
        <v>2590</v>
      </c>
      <c r="C175">
        <v>40</v>
      </c>
      <c r="D175">
        <v>21</v>
      </c>
      <c r="E175">
        <v>5</v>
      </c>
      <c r="F175">
        <v>20000</v>
      </c>
      <c r="G175">
        <v>1579.9625848601181</v>
      </c>
      <c r="H175">
        <v>0.19319441987082281</v>
      </c>
      <c r="I175">
        <v>0.24024201809220019</v>
      </c>
      <c r="J175">
        <f>50</f>
        <v>50</v>
      </c>
      <c r="K175">
        <v>1</v>
      </c>
    </row>
    <row r="176" spans="1:11" x14ac:dyDescent="0.25">
      <c r="A176">
        <v>175</v>
      </c>
      <c r="B176">
        <v>2630</v>
      </c>
      <c r="C176">
        <v>40</v>
      </c>
      <c r="D176">
        <v>21</v>
      </c>
      <c r="E176">
        <v>5</v>
      </c>
      <c r="F176">
        <v>20000</v>
      </c>
      <c r="G176">
        <v>1596.0004509658991</v>
      </c>
      <c r="H176">
        <v>0.19319441987082281</v>
      </c>
      <c r="I176">
        <v>0.24024201809220019</v>
      </c>
      <c r="J176">
        <f>50</f>
        <v>50</v>
      </c>
      <c r="K176">
        <v>1</v>
      </c>
    </row>
    <row r="177" spans="1:11" x14ac:dyDescent="0.25">
      <c r="A177">
        <v>176</v>
      </c>
      <c r="B177">
        <v>2670</v>
      </c>
      <c r="C177">
        <v>40</v>
      </c>
      <c r="D177">
        <v>21</v>
      </c>
      <c r="E177">
        <v>5</v>
      </c>
      <c r="F177">
        <v>20000</v>
      </c>
      <c r="G177">
        <v>1612.0383170716791</v>
      </c>
      <c r="H177">
        <v>0.19319441987082281</v>
      </c>
      <c r="I177">
        <v>0.24024201809220019</v>
      </c>
      <c r="J177">
        <f>50</f>
        <v>50</v>
      </c>
      <c r="K177">
        <v>1</v>
      </c>
    </row>
    <row r="178" spans="1:11" x14ac:dyDescent="0.25">
      <c r="A178">
        <v>177</v>
      </c>
      <c r="B178">
        <v>2710</v>
      </c>
      <c r="C178">
        <v>40</v>
      </c>
      <c r="D178">
        <v>21</v>
      </c>
      <c r="E178">
        <v>5</v>
      </c>
      <c r="F178">
        <v>20000</v>
      </c>
      <c r="G178">
        <v>1628.0761831774601</v>
      </c>
      <c r="H178">
        <v>0.19319441987082281</v>
      </c>
      <c r="I178">
        <v>0.24024201809220019</v>
      </c>
      <c r="J178">
        <f>50</f>
        <v>50</v>
      </c>
      <c r="K178">
        <v>1</v>
      </c>
    </row>
    <row r="179" spans="1:11" x14ac:dyDescent="0.25">
      <c r="A179">
        <v>178</v>
      </c>
      <c r="B179">
        <v>2750</v>
      </c>
      <c r="C179">
        <v>40</v>
      </c>
      <c r="D179">
        <v>21</v>
      </c>
      <c r="E179">
        <v>5</v>
      </c>
      <c r="F179">
        <v>20000</v>
      </c>
      <c r="G179">
        <v>1644.1140492832401</v>
      </c>
      <c r="H179">
        <v>0.19319441987082281</v>
      </c>
      <c r="I179">
        <v>0.24024201809220019</v>
      </c>
      <c r="J179">
        <f>50</f>
        <v>50</v>
      </c>
      <c r="K179">
        <v>1</v>
      </c>
    </row>
    <row r="180" spans="1:11" x14ac:dyDescent="0.25">
      <c r="A180">
        <v>179</v>
      </c>
      <c r="B180">
        <v>2790</v>
      </c>
      <c r="C180">
        <v>40</v>
      </c>
      <c r="D180">
        <v>21</v>
      </c>
      <c r="E180">
        <v>5</v>
      </c>
      <c r="F180">
        <v>20000</v>
      </c>
      <c r="G180">
        <v>1660.151915389021</v>
      </c>
      <c r="H180">
        <v>0.19319441987082281</v>
      </c>
      <c r="I180">
        <v>0.24024201809220019</v>
      </c>
      <c r="J180">
        <f>50</f>
        <v>50</v>
      </c>
      <c r="K180">
        <v>1</v>
      </c>
    </row>
    <row r="181" spans="1:11" x14ac:dyDescent="0.25">
      <c r="A181">
        <v>180</v>
      </c>
      <c r="B181">
        <v>2830</v>
      </c>
      <c r="C181">
        <v>40</v>
      </c>
      <c r="D181">
        <v>21</v>
      </c>
      <c r="E181">
        <v>5</v>
      </c>
      <c r="F181">
        <v>20000</v>
      </c>
      <c r="G181">
        <v>1676.1897814948011</v>
      </c>
      <c r="H181">
        <v>0.19319441987082281</v>
      </c>
      <c r="I181">
        <v>0.24024201809220019</v>
      </c>
      <c r="J181">
        <f>50</f>
        <v>50</v>
      </c>
      <c r="K181">
        <v>1</v>
      </c>
    </row>
    <row r="182" spans="1:11" x14ac:dyDescent="0.25">
      <c r="A182">
        <v>181</v>
      </c>
      <c r="B182">
        <v>2870</v>
      </c>
      <c r="C182">
        <v>40</v>
      </c>
      <c r="D182">
        <v>21</v>
      </c>
      <c r="E182">
        <v>5</v>
      </c>
      <c r="F182">
        <v>20000</v>
      </c>
      <c r="G182">
        <v>1692.227647600582</v>
      </c>
      <c r="H182">
        <v>0.19319441987082281</v>
      </c>
      <c r="I182">
        <v>0.24024201809220019</v>
      </c>
      <c r="J182">
        <f>50</f>
        <v>50</v>
      </c>
      <c r="K182">
        <v>1</v>
      </c>
    </row>
    <row r="183" spans="1:11" x14ac:dyDescent="0.25">
      <c r="A183">
        <v>182</v>
      </c>
      <c r="B183">
        <v>2910</v>
      </c>
      <c r="C183">
        <v>40</v>
      </c>
      <c r="D183">
        <v>21</v>
      </c>
      <c r="E183">
        <v>5</v>
      </c>
      <c r="F183">
        <v>20000</v>
      </c>
      <c r="G183">
        <v>1708.2655137063621</v>
      </c>
      <c r="H183">
        <v>0.19319441987082281</v>
      </c>
      <c r="I183">
        <v>0.24024201809220019</v>
      </c>
      <c r="J183">
        <f>50</f>
        <v>50</v>
      </c>
      <c r="K183">
        <v>1</v>
      </c>
    </row>
    <row r="184" spans="1:11" x14ac:dyDescent="0.25">
      <c r="A184">
        <v>183</v>
      </c>
      <c r="B184">
        <v>2950</v>
      </c>
      <c r="C184">
        <v>40</v>
      </c>
      <c r="D184">
        <v>21</v>
      </c>
      <c r="E184">
        <v>5</v>
      </c>
      <c r="F184">
        <v>20000</v>
      </c>
      <c r="G184">
        <v>1724.3033798121421</v>
      </c>
      <c r="H184">
        <v>0.19319441987082281</v>
      </c>
      <c r="I184">
        <v>0.24024201809220019</v>
      </c>
      <c r="J184">
        <f>50</f>
        <v>50</v>
      </c>
      <c r="K184">
        <v>1</v>
      </c>
    </row>
    <row r="185" spans="1:11" x14ac:dyDescent="0.25">
      <c r="A185">
        <v>184</v>
      </c>
      <c r="B185">
        <v>2990</v>
      </c>
      <c r="C185">
        <v>40</v>
      </c>
      <c r="D185">
        <v>21</v>
      </c>
      <c r="E185">
        <v>5</v>
      </c>
      <c r="F185">
        <v>20000</v>
      </c>
      <c r="G185">
        <v>1740.3412459179231</v>
      </c>
      <c r="H185">
        <v>0.19319441987082281</v>
      </c>
      <c r="I185">
        <v>0.24024201809220019</v>
      </c>
      <c r="J185">
        <f>50</f>
        <v>50</v>
      </c>
      <c r="K185">
        <v>1</v>
      </c>
    </row>
    <row r="186" spans="1:11" x14ac:dyDescent="0.25">
      <c r="A186">
        <v>185</v>
      </c>
      <c r="B186">
        <v>3030</v>
      </c>
      <c r="C186">
        <v>40</v>
      </c>
      <c r="D186">
        <v>21</v>
      </c>
      <c r="E186">
        <v>5</v>
      </c>
      <c r="F186">
        <v>20000</v>
      </c>
      <c r="G186">
        <v>1756.3791120237031</v>
      </c>
      <c r="H186">
        <v>0.19319441987082281</v>
      </c>
      <c r="I186">
        <v>0.24024201809220019</v>
      </c>
      <c r="J186">
        <f>50</f>
        <v>50</v>
      </c>
      <c r="K186">
        <v>1</v>
      </c>
    </row>
    <row r="187" spans="1:11" x14ac:dyDescent="0.25">
      <c r="A187">
        <v>186</v>
      </c>
      <c r="B187">
        <v>3070</v>
      </c>
      <c r="C187">
        <v>40</v>
      </c>
      <c r="D187">
        <v>21</v>
      </c>
      <c r="E187">
        <v>5</v>
      </c>
      <c r="F187">
        <v>20000</v>
      </c>
      <c r="G187">
        <v>1772.4169781294841</v>
      </c>
      <c r="H187">
        <v>0.19319441987082281</v>
      </c>
      <c r="I187">
        <v>0.24024201809220019</v>
      </c>
      <c r="J187">
        <f>50</f>
        <v>50</v>
      </c>
      <c r="K187">
        <v>1</v>
      </c>
    </row>
    <row r="188" spans="1:11" x14ac:dyDescent="0.25">
      <c r="A188">
        <v>187</v>
      </c>
      <c r="B188">
        <v>3110</v>
      </c>
      <c r="C188">
        <v>40</v>
      </c>
      <c r="D188">
        <v>21</v>
      </c>
      <c r="E188">
        <v>5</v>
      </c>
      <c r="F188">
        <v>20000</v>
      </c>
      <c r="G188">
        <v>1788.4548442352641</v>
      </c>
      <c r="H188">
        <v>0.19319441987082281</v>
      </c>
      <c r="I188">
        <v>0.24024201809220019</v>
      </c>
      <c r="J188">
        <f>50</f>
        <v>50</v>
      </c>
      <c r="K188">
        <v>1</v>
      </c>
    </row>
    <row r="189" spans="1:11" x14ac:dyDescent="0.25">
      <c r="A189">
        <v>188</v>
      </c>
      <c r="B189">
        <v>3150</v>
      </c>
      <c r="C189">
        <v>40</v>
      </c>
      <c r="D189">
        <v>21</v>
      </c>
      <c r="E189">
        <v>5</v>
      </c>
      <c r="F189">
        <v>20000</v>
      </c>
      <c r="G189">
        <v>1804.492710341045</v>
      </c>
      <c r="H189">
        <v>0.19319441987082281</v>
      </c>
      <c r="I189">
        <v>0.24024201809220019</v>
      </c>
      <c r="J189">
        <f>50</f>
        <v>50</v>
      </c>
      <c r="K189">
        <v>1</v>
      </c>
    </row>
    <row r="190" spans="1:11" x14ac:dyDescent="0.25">
      <c r="A190">
        <v>189</v>
      </c>
      <c r="B190">
        <v>3190</v>
      </c>
      <c r="C190">
        <v>40</v>
      </c>
      <c r="D190">
        <v>21</v>
      </c>
      <c r="E190">
        <v>5</v>
      </c>
      <c r="F190">
        <v>20000</v>
      </c>
      <c r="G190">
        <v>1820.5305764468251</v>
      </c>
      <c r="H190">
        <v>0.19319441987082281</v>
      </c>
      <c r="I190">
        <v>0.24024201809220019</v>
      </c>
      <c r="J190">
        <f>50</f>
        <v>50</v>
      </c>
      <c r="K190">
        <v>1</v>
      </c>
    </row>
    <row r="191" spans="1:11" x14ac:dyDescent="0.25">
      <c r="A191">
        <v>190</v>
      </c>
      <c r="B191">
        <v>3230</v>
      </c>
      <c r="C191">
        <v>40</v>
      </c>
      <c r="D191">
        <v>21</v>
      </c>
      <c r="E191">
        <v>5</v>
      </c>
      <c r="F191">
        <v>20000</v>
      </c>
      <c r="G191">
        <v>1836.568442552606</v>
      </c>
      <c r="H191">
        <v>0.19319441987082281</v>
      </c>
      <c r="I191">
        <v>0.24024201809220019</v>
      </c>
      <c r="J191">
        <f>50</f>
        <v>50</v>
      </c>
      <c r="K191">
        <v>1</v>
      </c>
    </row>
    <row r="192" spans="1:11" x14ac:dyDescent="0.25">
      <c r="A192">
        <v>191</v>
      </c>
      <c r="B192">
        <v>3270</v>
      </c>
      <c r="C192">
        <v>40</v>
      </c>
      <c r="D192">
        <v>21</v>
      </c>
      <c r="E192">
        <v>5</v>
      </c>
      <c r="F192">
        <v>20000</v>
      </c>
      <c r="G192">
        <v>1852.6063086583861</v>
      </c>
      <c r="H192">
        <v>0.19319441987082281</v>
      </c>
      <c r="I192">
        <v>0.24024201809220019</v>
      </c>
      <c r="J192">
        <f>50</f>
        <v>50</v>
      </c>
      <c r="K192">
        <v>1</v>
      </c>
    </row>
    <row r="193" spans="1:11" x14ac:dyDescent="0.25">
      <c r="A193">
        <v>192</v>
      </c>
      <c r="B193">
        <v>3310</v>
      </c>
      <c r="C193">
        <v>40</v>
      </c>
      <c r="D193">
        <v>21</v>
      </c>
      <c r="E193">
        <v>5</v>
      </c>
      <c r="F193">
        <v>20000</v>
      </c>
      <c r="G193">
        <v>1868.644174764167</v>
      </c>
      <c r="H193">
        <v>0.19319441987082281</v>
      </c>
      <c r="I193">
        <v>0.24024201809220019</v>
      </c>
      <c r="J193">
        <f>50</f>
        <v>50</v>
      </c>
      <c r="K193">
        <v>1</v>
      </c>
    </row>
    <row r="194" spans="1:11" x14ac:dyDescent="0.25">
      <c r="A194">
        <v>193</v>
      </c>
      <c r="B194">
        <v>3350</v>
      </c>
      <c r="C194">
        <v>40</v>
      </c>
      <c r="D194">
        <v>21</v>
      </c>
      <c r="E194">
        <v>5</v>
      </c>
      <c r="F194">
        <v>20000</v>
      </c>
      <c r="G194">
        <v>1884.6820408699471</v>
      </c>
      <c r="H194">
        <v>0.19319441987082281</v>
      </c>
      <c r="I194">
        <v>0.24024201809220019</v>
      </c>
      <c r="J194">
        <f>50</f>
        <v>50</v>
      </c>
      <c r="K194">
        <v>1</v>
      </c>
    </row>
    <row r="195" spans="1:11" x14ac:dyDescent="0.25">
      <c r="A195">
        <v>194</v>
      </c>
      <c r="B195">
        <v>3390</v>
      </c>
      <c r="C195">
        <v>40</v>
      </c>
      <c r="D195">
        <v>21</v>
      </c>
      <c r="E195">
        <v>5</v>
      </c>
      <c r="F195">
        <v>20000</v>
      </c>
      <c r="G195">
        <v>1900.719906975728</v>
      </c>
      <c r="H195">
        <v>0.19319441987082281</v>
      </c>
      <c r="I195">
        <v>0.24024201809220019</v>
      </c>
      <c r="J195">
        <f>50</f>
        <v>50</v>
      </c>
      <c r="K195">
        <v>1</v>
      </c>
    </row>
    <row r="196" spans="1:11" x14ac:dyDescent="0.25">
      <c r="A196">
        <v>195</v>
      </c>
      <c r="B196">
        <v>3430</v>
      </c>
      <c r="C196">
        <v>40</v>
      </c>
      <c r="D196">
        <v>21</v>
      </c>
      <c r="E196">
        <v>5</v>
      </c>
      <c r="F196">
        <v>30000</v>
      </c>
      <c r="G196">
        <v>1916.757773081508</v>
      </c>
      <c r="H196">
        <v>0.17172691342283611</v>
      </c>
      <c r="I196">
        <v>0.21354664523453659</v>
      </c>
      <c r="J196">
        <f>50</f>
        <v>50</v>
      </c>
      <c r="K196">
        <v>1</v>
      </c>
    </row>
    <row r="197" spans="1:11" x14ac:dyDescent="0.25">
      <c r="A197">
        <v>196</v>
      </c>
      <c r="B197">
        <v>3470</v>
      </c>
      <c r="C197">
        <v>40</v>
      </c>
      <c r="D197">
        <v>21</v>
      </c>
      <c r="E197">
        <v>5</v>
      </c>
      <c r="F197">
        <v>30000</v>
      </c>
      <c r="G197">
        <v>1932.795639187289</v>
      </c>
      <c r="H197">
        <v>0.17172691342283611</v>
      </c>
      <c r="I197">
        <v>0.21354664523453659</v>
      </c>
      <c r="J197">
        <f>50</f>
        <v>50</v>
      </c>
      <c r="K197">
        <v>1</v>
      </c>
    </row>
    <row r="198" spans="1:11" x14ac:dyDescent="0.25">
      <c r="A198">
        <v>197</v>
      </c>
      <c r="B198">
        <v>3510</v>
      </c>
      <c r="C198">
        <v>40</v>
      </c>
      <c r="D198">
        <v>21</v>
      </c>
      <c r="E198">
        <v>5</v>
      </c>
      <c r="F198">
        <v>30000</v>
      </c>
      <c r="G198">
        <v>1948.833505293069</v>
      </c>
      <c r="H198">
        <v>0.17172691342283611</v>
      </c>
      <c r="I198">
        <v>0.21354664523453659</v>
      </c>
      <c r="J198">
        <f>50</f>
        <v>50</v>
      </c>
      <c r="K198">
        <v>1</v>
      </c>
    </row>
    <row r="199" spans="1:11" x14ac:dyDescent="0.25">
      <c r="A199">
        <v>198</v>
      </c>
      <c r="B199">
        <v>3550</v>
      </c>
      <c r="C199">
        <v>40</v>
      </c>
      <c r="D199">
        <v>21</v>
      </c>
      <c r="E199">
        <v>5</v>
      </c>
      <c r="F199">
        <v>30000</v>
      </c>
      <c r="G199">
        <v>1964.87137139885</v>
      </c>
      <c r="H199">
        <v>0.17172691342283611</v>
      </c>
      <c r="I199">
        <v>0.21354664523453659</v>
      </c>
      <c r="J199">
        <f>50</f>
        <v>50</v>
      </c>
      <c r="K199">
        <v>1</v>
      </c>
    </row>
    <row r="200" spans="1:11" x14ac:dyDescent="0.25">
      <c r="A200">
        <v>199</v>
      </c>
      <c r="B200">
        <v>3590</v>
      </c>
      <c r="C200">
        <v>40</v>
      </c>
      <c r="D200">
        <v>21</v>
      </c>
      <c r="E200">
        <v>5</v>
      </c>
      <c r="F200">
        <v>30000</v>
      </c>
      <c r="G200">
        <v>1980.90923750463</v>
      </c>
      <c r="H200">
        <v>0.17172691342283611</v>
      </c>
      <c r="I200">
        <v>0.21354664523453659</v>
      </c>
      <c r="J200">
        <f>50</f>
        <v>50</v>
      </c>
      <c r="K200">
        <v>1</v>
      </c>
    </row>
    <row r="201" spans="1:11" x14ac:dyDescent="0.25">
      <c r="A201">
        <v>200</v>
      </c>
      <c r="B201">
        <v>3630</v>
      </c>
      <c r="C201">
        <v>40</v>
      </c>
      <c r="D201">
        <v>21</v>
      </c>
      <c r="E201">
        <v>5</v>
      </c>
      <c r="F201">
        <v>30000</v>
      </c>
      <c r="G201">
        <v>1996.9471036104101</v>
      </c>
      <c r="H201">
        <v>0.17172691342283611</v>
      </c>
      <c r="I201">
        <v>0.21354664523453659</v>
      </c>
      <c r="J201">
        <f>50</f>
        <v>50</v>
      </c>
      <c r="K201">
        <v>1</v>
      </c>
    </row>
    <row r="202" spans="1:11" x14ac:dyDescent="0.25">
      <c r="A202">
        <v>201</v>
      </c>
      <c r="B202">
        <v>3670</v>
      </c>
      <c r="C202">
        <v>40</v>
      </c>
      <c r="D202">
        <v>21</v>
      </c>
      <c r="E202">
        <v>5</v>
      </c>
      <c r="F202">
        <v>30000</v>
      </c>
      <c r="G202">
        <v>2012.984969716191</v>
      </c>
      <c r="H202">
        <v>0.17172691342283611</v>
      </c>
      <c r="I202">
        <v>0.21354664523453659</v>
      </c>
      <c r="J202">
        <f>50</f>
        <v>50</v>
      </c>
      <c r="K202">
        <v>1</v>
      </c>
    </row>
    <row r="203" spans="1:11" x14ac:dyDescent="0.25">
      <c r="A203">
        <v>202</v>
      </c>
      <c r="B203">
        <v>3710</v>
      </c>
      <c r="C203">
        <v>40</v>
      </c>
      <c r="D203">
        <v>21</v>
      </c>
      <c r="E203">
        <v>5</v>
      </c>
      <c r="F203">
        <v>30000</v>
      </c>
      <c r="G203">
        <v>2029.0228358219711</v>
      </c>
      <c r="H203">
        <v>0.17172691342283611</v>
      </c>
      <c r="I203">
        <v>0.21354664523453659</v>
      </c>
      <c r="J203">
        <f>50</f>
        <v>50</v>
      </c>
      <c r="K203">
        <v>1</v>
      </c>
    </row>
    <row r="204" spans="1:11" x14ac:dyDescent="0.25">
      <c r="A204">
        <v>203</v>
      </c>
      <c r="B204">
        <v>3750</v>
      </c>
      <c r="C204">
        <v>40</v>
      </c>
      <c r="D204">
        <v>21</v>
      </c>
      <c r="E204">
        <v>5</v>
      </c>
      <c r="F204">
        <v>30000</v>
      </c>
      <c r="G204">
        <v>2045.060701927752</v>
      </c>
      <c r="H204">
        <v>0.17172691342283611</v>
      </c>
      <c r="I204">
        <v>0.21354664523453659</v>
      </c>
      <c r="J204">
        <f>50</f>
        <v>50</v>
      </c>
      <c r="K204">
        <v>1</v>
      </c>
    </row>
    <row r="205" spans="1:11" x14ac:dyDescent="0.25">
      <c r="A205">
        <v>204</v>
      </c>
      <c r="B205">
        <v>3790</v>
      </c>
      <c r="C205">
        <v>40</v>
      </c>
      <c r="D205">
        <v>21</v>
      </c>
      <c r="E205">
        <v>5</v>
      </c>
      <c r="F205">
        <v>30000</v>
      </c>
      <c r="G205">
        <v>2061.098568033533</v>
      </c>
      <c r="H205">
        <v>0.17172691342283611</v>
      </c>
      <c r="I205">
        <v>0.21354664523453659</v>
      </c>
      <c r="J205">
        <f>50</f>
        <v>50</v>
      </c>
      <c r="K205">
        <v>1</v>
      </c>
    </row>
    <row r="206" spans="1:11" x14ac:dyDescent="0.25">
      <c r="A206">
        <v>205</v>
      </c>
      <c r="B206">
        <v>3830</v>
      </c>
      <c r="C206">
        <v>40</v>
      </c>
      <c r="D206">
        <v>21</v>
      </c>
      <c r="E206">
        <v>5</v>
      </c>
      <c r="F206">
        <v>30000</v>
      </c>
      <c r="G206">
        <v>2077.1364341393132</v>
      </c>
      <c r="H206">
        <v>0.17172691342283611</v>
      </c>
      <c r="I206">
        <v>0.21354664523453659</v>
      </c>
      <c r="J206">
        <f>50</f>
        <v>50</v>
      </c>
      <c r="K206">
        <v>1</v>
      </c>
    </row>
    <row r="207" spans="1:11" x14ac:dyDescent="0.25">
      <c r="A207">
        <v>206</v>
      </c>
      <c r="B207">
        <v>3870</v>
      </c>
      <c r="C207">
        <v>40</v>
      </c>
      <c r="D207">
        <v>21</v>
      </c>
      <c r="E207">
        <v>5</v>
      </c>
      <c r="F207">
        <v>30000</v>
      </c>
      <c r="G207">
        <v>2093.174300245093</v>
      </c>
      <c r="H207">
        <v>0.17172691342283611</v>
      </c>
      <c r="I207">
        <v>0.21354664523453659</v>
      </c>
      <c r="J207">
        <f>50</f>
        <v>50</v>
      </c>
      <c r="K207">
        <v>1</v>
      </c>
    </row>
    <row r="208" spans="1:11" x14ac:dyDescent="0.25">
      <c r="A208">
        <v>207</v>
      </c>
      <c r="B208">
        <v>3910</v>
      </c>
      <c r="C208">
        <v>40</v>
      </c>
      <c r="D208">
        <v>21</v>
      </c>
      <c r="E208">
        <v>5</v>
      </c>
      <c r="F208">
        <v>30000</v>
      </c>
      <c r="G208">
        <v>2109.2121663508728</v>
      </c>
      <c r="H208">
        <v>0.17172691342283611</v>
      </c>
      <c r="I208">
        <v>0.21354664523453659</v>
      </c>
      <c r="J208">
        <f>50</f>
        <v>50</v>
      </c>
      <c r="K208">
        <v>1</v>
      </c>
    </row>
    <row r="209" spans="1:11" x14ac:dyDescent="0.25">
      <c r="A209">
        <v>208</v>
      </c>
      <c r="B209">
        <v>3950</v>
      </c>
      <c r="C209">
        <v>40</v>
      </c>
      <c r="D209">
        <v>21</v>
      </c>
      <c r="E209">
        <v>5</v>
      </c>
      <c r="F209">
        <v>30000</v>
      </c>
      <c r="G209">
        <v>2125.250032456654</v>
      </c>
      <c r="H209">
        <v>0.17172691342283611</v>
      </c>
      <c r="I209">
        <v>0.21354664523453659</v>
      </c>
      <c r="J209">
        <f>50</f>
        <v>50</v>
      </c>
      <c r="K209">
        <v>1</v>
      </c>
    </row>
    <row r="210" spans="1:11" x14ac:dyDescent="0.25">
      <c r="A210">
        <v>209</v>
      </c>
      <c r="B210">
        <v>3990</v>
      </c>
      <c r="C210">
        <v>40</v>
      </c>
      <c r="D210">
        <v>21</v>
      </c>
      <c r="E210">
        <v>5</v>
      </c>
      <c r="F210">
        <v>30000</v>
      </c>
      <c r="G210">
        <v>2141.2878985624352</v>
      </c>
      <c r="H210">
        <v>0.17172691342283611</v>
      </c>
      <c r="I210">
        <v>0.21354664523453659</v>
      </c>
      <c r="J210">
        <f>50</f>
        <v>50</v>
      </c>
      <c r="K210">
        <v>1</v>
      </c>
    </row>
    <row r="211" spans="1:11" x14ac:dyDescent="0.25">
      <c r="A211">
        <v>210</v>
      </c>
      <c r="B211">
        <v>4030</v>
      </c>
      <c r="C211">
        <v>40</v>
      </c>
      <c r="D211">
        <v>21</v>
      </c>
      <c r="E211">
        <v>5</v>
      </c>
      <c r="F211">
        <v>30000</v>
      </c>
      <c r="G211">
        <v>2157.325764668215</v>
      </c>
      <c r="H211">
        <v>0.17172691342283611</v>
      </c>
      <c r="I211">
        <v>0.21354664523453659</v>
      </c>
      <c r="J211">
        <f>50</f>
        <v>50</v>
      </c>
      <c r="K211">
        <v>1</v>
      </c>
    </row>
    <row r="212" spans="1:11" x14ac:dyDescent="0.25">
      <c r="A212">
        <v>211</v>
      </c>
      <c r="B212">
        <v>4070</v>
      </c>
      <c r="C212">
        <v>40</v>
      </c>
      <c r="D212">
        <v>21</v>
      </c>
      <c r="E212">
        <v>5</v>
      </c>
      <c r="F212">
        <v>30000</v>
      </c>
      <c r="G212">
        <v>2173.3636307739948</v>
      </c>
      <c r="H212">
        <v>0.17172691342283611</v>
      </c>
      <c r="I212">
        <v>0.21354664523453659</v>
      </c>
      <c r="J212">
        <f>50</f>
        <v>50</v>
      </c>
      <c r="K212">
        <v>1</v>
      </c>
    </row>
    <row r="213" spans="1:11" x14ac:dyDescent="0.25">
      <c r="A213">
        <v>212</v>
      </c>
      <c r="B213">
        <v>4110</v>
      </c>
      <c r="C213">
        <v>40</v>
      </c>
      <c r="D213">
        <v>21</v>
      </c>
      <c r="E213">
        <v>5</v>
      </c>
      <c r="F213">
        <v>30000</v>
      </c>
      <c r="G213">
        <v>2189.401496879776</v>
      </c>
      <c r="H213">
        <v>0.17172691342283611</v>
      </c>
      <c r="I213">
        <v>0.21354664523453659</v>
      </c>
      <c r="J213">
        <f>50</f>
        <v>50</v>
      </c>
      <c r="K213">
        <v>1</v>
      </c>
    </row>
    <row r="214" spans="1:11" x14ac:dyDescent="0.25">
      <c r="A214">
        <v>213</v>
      </c>
      <c r="B214">
        <v>4150</v>
      </c>
      <c r="C214">
        <v>40</v>
      </c>
      <c r="D214">
        <v>21</v>
      </c>
      <c r="E214">
        <v>5</v>
      </c>
      <c r="F214">
        <v>30000</v>
      </c>
      <c r="G214">
        <v>2205.4393629855572</v>
      </c>
      <c r="H214">
        <v>0.17172691342283611</v>
      </c>
      <c r="I214">
        <v>0.21354664523453659</v>
      </c>
      <c r="J214">
        <f>50</f>
        <v>50</v>
      </c>
      <c r="K214">
        <v>1</v>
      </c>
    </row>
    <row r="215" spans="1:11" x14ac:dyDescent="0.25">
      <c r="A215">
        <v>214</v>
      </c>
      <c r="B215">
        <v>4190</v>
      </c>
      <c r="C215">
        <v>40</v>
      </c>
      <c r="D215">
        <v>21</v>
      </c>
      <c r="E215">
        <v>5</v>
      </c>
      <c r="F215">
        <v>30000</v>
      </c>
      <c r="G215">
        <v>2221.477229091337</v>
      </c>
      <c r="H215">
        <v>0.17172691342283611</v>
      </c>
      <c r="I215">
        <v>0.21354664523453659</v>
      </c>
      <c r="J215">
        <f>50</f>
        <v>50</v>
      </c>
      <c r="K215">
        <v>1</v>
      </c>
    </row>
    <row r="216" spans="1:11" x14ac:dyDescent="0.25">
      <c r="A216">
        <v>215</v>
      </c>
      <c r="B216">
        <v>4230</v>
      </c>
      <c r="C216">
        <v>40</v>
      </c>
      <c r="D216">
        <v>21</v>
      </c>
      <c r="E216">
        <v>5</v>
      </c>
      <c r="F216">
        <v>30000</v>
      </c>
      <c r="G216">
        <v>2237.5150951971168</v>
      </c>
      <c r="H216">
        <v>0.17172691342283611</v>
      </c>
      <c r="I216">
        <v>0.21354664523453659</v>
      </c>
      <c r="J216">
        <f>50</f>
        <v>50</v>
      </c>
      <c r="K216">
        <v>1</v>
      </c>
    </row>
    <row r="217" spans="1:11" x14ac:dyDescent="0.25">
      <c r="A217">
        <v>216</v>
      </c>
      <c r="B217">
        <v>4270</v>
      </c>
      <c r="C217">
        <v>40</v>
      </c>
      <c r="D217">
        <v>21</v>
      </c>
      <c r="E217">
        <v>5</v>
      </c>
      <c r="F217">
        <v>30000</v>
      </c>
      <c r="G217">
        <v>2253.552961302898</v>
      </c>
      <c r="H217">
        <v>0.17172691342283611</v>
      </c>
      <c r="I217">
        <v>0.21354664523453659</v>
      </c>
      <c r="J217">
        <f>50</f>
        <v>50</v>
      </c>
      <c r="K217">
        <v>1</v>
      </c>
    </row>
    <row r="218" spans="1:11" x14ac:dyDescent="0.25">
      <c r="A218">
        <v>217</v>
      </c>
      <c r="B218">
        <v>4310</v>
      </c>
      <c r="C218">
        <v>40</v>
      </c>
      <c r="D218">
        <v>21</v>
      </c>
      <c r="E218">
        <v>5</v>
      </c>
      <c r="F218">
        <v>30000</v>
      </c>
      <c r="G218">
        <v>2269.5908274086778</v>
      </c>
      <c r="H218">
        <v>0.17172691342283611</v>
      </c>
      <c r="I218">
        <v>0.21354664523453659</v>
      </c>
      <c r="J218">
        <f>50</f>
        <v>50</v>
      </c>
      <c r="K218">
        <v>1</v>
      </c>
    </row>
    <row r="219" spans="1:11" x14ac:dyDescent="0.25">
      <c r="A219">
        <v>218</v>
      </c>
      <c r="B219">
        <v>4350</v>
      </c>
      <c r="C219">
        <v>40</v>
      </c>
      <c r="D219">
        <v>21</v>
      </c>
      <c r="E219">
        <v>5</v>
      </c>
      <c r="F219">
        <v>30000</v>
      </c>
      <c r="G219">
        <v>2285.628693514459</v>
      </c>
      <c r="H219">
        <v>0.17172691342283611</v>
      </c>
      <c r="I219">
        <v>0.21354664523453659</v>
      </c>
      <c r="J219">
        <f>50</f>
        <v>50</v>
      </c>
      <c r="K219">
        <v>1</v>
      </c>
    </row>
    <row r="220" spans="1:11" x14ac:dyDescent="0.25">
      <c r="A220">
        <v>219</v>
      </c>
      <c r="B220">
        <v>4390</v>
      </c>
      <c r="C220">
        <v>40</v>
      </c>
      <c r="D220">
        <v>21</v>
      </c>
      <c r="E220">
        <v>5</v>
      </c>
      <c r="F220">
        <v>30000</v>
      </c>
      <c r="G220">
        <v>2301.6665596202388</v>
      </c>
      <c r="H220">
        <v>0.17172691342283611</v>
      </c>
      <c r="I220">
        <v>0.21354664523453659</v>
      </c>
      <c r="J220">
        <f>50</f>
        <v>50</v>
      </c>
      <c r="K220">
        <v>1</v>
      </c>
    </row>
    <row r="221" spans="1:11" x14ac:dyDescent="0.25">
      <c r="A221">
        <v>220</v>
      </c>
      <c r="B221">
        <v>4430</v>
      </c>
      <c r="C221">
        <v>40</v>
      </c>
      <c r="D221">
        <v>21</v>
      </c>
      <c r="E221">
        <v>5</v>
      </c>
      <c r="F221">
        <v>30000</v>
      </c>
      <c r="G221">
        <v>2317.70442572602</v>
      </c>
      <c r="H221">
        <v>0.17172691342283611</v>
      </c>
      <c r="I221">
        <v>0.21354664523453659</v>
      </c>
      <c r="J221">
        <f>50</f>
        <v>50</v>
      </c>
      <c r="K221">
        <v>1</v>
      </c>
    </row>
    <row r="222" spans="1:11" x14ac:dyDescent="0.25">
      <c r="A222">
        <v>221</v>
      </c>
      <c r="B222">
        <v>4470</v>
      </c>
      <c r="C222">
        <v>40</v>
      </c>
      <c r="D222">
        <v>21</v>
      </c>
      <c r="E222">
        <v>5</v>
      </c>
      <c r="F222">
        <v>30000</v>
      </c>
      <c r="G222">
        <v>2333.7422918317998</v>
      </c>
      <c r="H222">
        <v>0.17172691342283611</v>
      </c>
      <c r="I222">
        <v>0.21354664523453659</v>
      </c>
      <c r="J222">
        <f>50</f>
        <v>50</v>
      </c>
      <c r="K222">
        <v>1</v>
      </c>
    </row>
    <row r="223" spans="1:11" x14ac:dyDescent="0.25">
      <c r="A223">
        <v>222</v>
      </c>
      <c r="B223">
        <v>4510</v>
      </c>
      <c r="C223">
        <v>40</v>
      </c>
      <c r="D223">
        <v>21</v>
      </c>
      <c r="E223">
        <v>5</v>
      </c>
      <c r="F223">
        <v>30000</v>
      </c>
      <c r="G223">
        <v>2349.78015793758</v>
      </c>
      <c r="H223">
        <v>0.17172691342283611</v>
      </c>
      <c r="I223">
        <v>0.21354664523453659</v>
      </c>
      <c r="J223">
        <f>50</f>
        <v>50</v>
      </c>
      <c r="K223">
        <v>1</v>
      </c>
    </row>
    <row r="224" spans="1:11" x14ac:dyDescent="0.25">
      <c r="A224">
        <v>223</v>
      </c>
      <c r="B224">
        <v>4550</v>
      </c>
      <c r="C224">
        <v>40</v>
      </c>
      <c r="D224">
        <v>21</v>
      </c>
      <c r="E224">
        <v>5</v>
      </c>
      <c r="F224">
        <v>30000</v>
      </c>
      <c r="G224">
        <v>2365.8180240433612</v>
      </c>
      <c r="H224">
        <v>0.17172691342283611</v>
      </c>
      <c r="I224">
        <v>0.21354664523453659</v>
      </c>
      <c r="J224">
        <f>50</f>
        <v>50</v>
      </c>
      <c r="K224">
        <v>1</v>
      </c>
    </row>
    <row r="225" spans="1:11" x14ac:dyDescent="0.25">
      <c r="A225">
        <v>224</v>
      </c>
      <c r="B225">
        <v>4590</v>
      </c>
      <c r="C225">
        <v>40</v>
      </c>
      <c r="D225">
        <v>21</v>
      </c>
      <c r="E225">
        <v>5</v>
      </c>
      <c r="F225">
        <v>30000</v>
      </c>
      <c r="G225">
        <v>2381.855890149141</v>
      </c>
      <c r="H225">
        <v>0.17172691342283611</v>
      </c>
      <c r="I225">
        <v>0.21354664523453659</v>
      </c>
      <c r="J225">
        <f>50</f>
        <v>50</v>
      </c>
      <c r="K225">
        <v>1</v>
      </c>
    </row>
    <row r="226" spans="1:11" x14ac:dyDescent="0.25">
      <c r="A226">
        <v>225</v>
      </c>
      <c r="B226">
        <v>4630</v>
      </c>
      <c r="C226">
        <v>40</v>
      </c>
      <c r="D226">
        <v>21</v>
      </c>
      <c r="E226">
        <v>5</v>
      </c>
      <c r="F226">
        <v>30000</v>
      </c>
      <c r="G226">
        <v>2397.8937562549222</v>
      </c>
      <c r="H226">
        <v>0.17172691342283611</v>
      </c>
      <c r="I226">
        <v>0.21354664523453659</v>
      </c>
      <c r="J226">
        <f>50</f>
        <v>50</v>
      </c>
      <c r="K226">
        <v>1</v>
      </c>
    </row>
    <row r="227" spans="1:11" x14ac:dyDescent="0.25">
      <c r="A227">
        <v>226</v>
      </c>
      <c r="B227">
        <v>4670</v>
      </c>
      <c r="C227">
        <v>40</v>
      </c>
      <c r="D227">
        <v>21</v>
      </c>
      <c r="E227">
        <v>5</v>
      </c>
      <c r="F227">
        <v>30000</v>
      </c>
      <c r="G227">
        <v>2413.931622360702</v>
      </c>
      <c r="H227">
        <v>0.17172691342283611</v>
      </c>
      <c r="I227">
        <v>0.21354664523453659</v>
      </c>
      <c r="J227">
        <f>50</f>
        <v>50</v>
      </c>
      <c r="K227">
        <v>1</v>
      </c>
    </row>
    <row r="228" spans="1:11" x14ac:dyDescent="0.25">
      <c r="A228">
        <v>227</v>
      </c>
      <c r="B228">
        <v>4710</v>
      </c>
      <c r="C228">
        <v>40</v>
      </c>
      <c r="D228">
        <v>21</v>
      </c>
      <c r="E228">
        <v>5</v>
      </c>
      <c r="F228">
        <v>30000</v>
      </c>
      <c r="G228">
        <v>2429.9694884664832</v>
      </c>
      <c r="H228">
        <v>0.17172691342283611</v>
      </c>
      <c r="I228">
        <v>0.21354664523453659</v>
      </c>
      <c r="J228">
        <f>50</f>
        <v>50</v>
      </c>
      <c r="K228">
        <v>1</v>
      </c>
    </row>
    <row r="229" spans="1:11" x14ac:dyDescent="0.25">
      <c r="A229">
        <v>228</v>
      </c>
      <c r="B229">
        <v>4750</v>
      </c>
      <c r="C229">
        <v>40</v>
      </c>
      <c r="D229">
        <v>21</v>
      </c>
      <c r="E229">
        <v>5</v>
      </c>
      <c r="F229">
        <v>40000</v>
      </c>
      <c r="G229">
        <v>2446.007354572263</v>
      </c>
      <c r="H229">
        <v>0.15795987028722949</v>
      </c>
      <c r="I229">
        <v>0.19642698811259701</v>
      </c>
      <c r="J229">
        <f>50</f>
        <v>50</v>
      </c>
      <c r="K229">
        <v>1</v>
      </c>
    </row>
    <row r="230" spans="1:11" x14ac:dyDescent="0.25">
      <c r="A230">
        <v>229</v>
      </c>
      <c r="B230">
        <v>4790</v>
      </c>
      <c r="C230">
        <v>40</v>
      </c>
      <c r="D230">
        <v>21</v>
      </c>
      <c r="E230">
        <v>5</v>
      </c>
      <c r="F230">
        <v>40000</v>
      </c>
      <c r="G230">
        <v>2462.0452206780442</v>
      </c>
      <c r="H230">
        <v>0.15795987028722949</v>
      </c>
      <c r="I230">
        <v>0.19642698811259701</v>
      </c>
      <c r="J230">
        <f>50</f>
        <v>50</v>
      </c>
      <c r="K230">
        <v>1</v>
      </c>
    </row>
    <row r="231" spans="1:11" x14ac:dyDescent="0.25">
      <c r="A231">
        <v>230</v>
      </c>
      <c r="B231">
        <v>4830</v>
      </c>
      <c r="C231">
        <v>40</v>
      </c>
      <c r="D231">
        <v>21</v>
      </c>
      <c r="E231">
        <v>5</v>
      </c>
      <c r="F231">
        <v>40000</v>
      </c>
      <c r="G231">
        <v>2478.083086783824</v>
      </c>
      <c r="H231">
        <v>0.15795987028722949</v>
      </c>
      <c r="I231">
        <v>0.19642698811259701</v>
      </c>
      <c r="J231">
        <f>50</f>
        <v>50</v>
      </c>
      <c r="K231">
        <v>1</v>
      </c>
    </row>
    <row r="232" spans="1:11" x14ac:dyDescent="0.25">
      <c r="A232">
        <v>231</v>
      </c>
      <c r="B232">
        <v>4870</v>
      </c>
      <c r="C232">
        <v>40</v>
      </c>
      <c r="D232">
        <v>21</v>
      </c>
      <c r="E232">
        <v>5</v>
      </c>
      <c r="F232">
        <v>40000</v>
      </c>
      <c r="G232">
        <v>2494.1209528896052</v>
      </c>
      <c r="H232">
        <v>0.15795987028722949</v>
      </c>
      <c r="I232">
        <v>0.19642698811259701</v>
      </c>
      <c r="J232">
        <f>50</f>
        <v>50</v>
      </c>
      <c r="K232">
        <v>1</v>
      </c>
    </row>
    <row r="233" spans="1:11" x14ac:dyDescent="0.25">
      <c r="A233">
        <v>232</v>
      </c>
      <c r="B233">
        <v>4910</v>
      </c>
      <c r="C233">
        <v>40</v>
      </c>
      <c r="D233">
        <v>21</v>
      </c>
      <c r="E233">
        <v>5</v>
      </c>
      <c r="F233">
        <v>40000</v>
      </c>
      <c r="G233">
        <v>2510.158818995385</v>
      </c>
      <c r="H233">
        <v>0.15795987028722949</v>
      </c>
      <c r="I233">
        <v>0.19642698811259701</v>
      </c>
      <c r="J233">
        <f>50</f>
        <v>50</v>
      </c>
      <c r="K233">
        <v>1</v>
      </c>
    </row>
    <row r="234" spans="1:11" x14ac:dyDescent="0.25">
      <c r="A234">
        <v>233</v>
      </c>
      <c r="B234">
        <v>4950</v>
      </c>
      <c r="C234">
        <v>40</v>
      </c>
      <c r="D234">
        <v>21</v>
      </c>
      <c r="E234">
        <v>5</v>
      </c>
      <c r="F234">
        <v>40000</v>
      </c>
      <c r="G234">
        <v>2526.1966851011662</v>
      </c>
      <c r="H234">
        <v>0.15795987028722949</v>
      </c>
      <c r="I234">
        <v>0.19642698811259701</v>
      </c>
      <c r="J234">
        <f>50</f>
        <v>50</v>
      </c>
      <c r="K234">
        <v>1</v>
      </c>
    </row>
    <row r="235" spans="1:11" x14ac:dyDescent="0.25">
      <c r="A235">
        <v>234</v>
      </c>
      <c r="B235">
        <v>4990</v>
      </c>
      <c r="C235">
        <v>40</v>
      </c>
      <c r="D235">
        <v>21</v>
      </c>
      <c r="E235">
        <v>5</v>
      </c>
      <c r="F235">
        <v>40000</v>
      </c>
      <c r="G235">
        <v>2542.234551206946</v>
      </c>
      <c r="H235">
        <v>0.15795987028722949</v>
      </c>
      <c r="I235">
        <v>0.19642698811259701</v>
      </c>
      <c r="J235">
        <f>50</f>
        <v>50</v>
      </c>
      <c r="K235">
        <v>1</v>
      </c>
    </row>
    <row r="236" spans="1:11" x14ac:dyDescent="0.25">
      <c r="A236">
        <v>235</v>
      </c>
      <c r="B236">
        <v>5030</v>
      </c>
      <c r="C236">
        <v>40</v>
      </c>
      <c r="D236">
        <v>21</v>
      </c>
      <c r="E236">
        <v>5</v>
      </c>
      <c r="F236">
        <v>40000</v>
      </c>
      <c r="G236">
        <v>2558.2724173127272</v>
      </c>
      <c r="H236">
        <v>0.15795987028722949</v>
      </c>
      <c r="I236">
        <v>0.19642698811259701</v>
      </c>
      <c r="J236">
        <f>50</f>
        <v>50</v>
      </c>
      <c r="K236">
        <v>1</v>
      </c>
    </row>
    <row r="237" spans="1:11" x14ac:dyDescent="0.25">
      <c r="A237">
        <v>236</v>
      </c>
      <c r="B237">
        <v>5070</v>
      </c>
      <c r="C237">
        <v>40</v>
      </c>
      <c r="D237">
        <v>21</v>
      </c>
      <c r="E237">
        <v>5</v>
      </c>
      <c r="F237">
        <v>40000</v>
      </c>
      <c r="G237">
        <v>2574.310283418507</v>
      </c>
      <c r="H237">
        <v>0.15795987028722949</v>
      </c>
      <c r="I237">
        <v>0.19642698811259701</v>
      </c>
      <c r="J237">
        <f>50</f>
        <v>50</v>
      </c>
      <c r="K237">
        <v>1</v>
      </c>
    </row>
    <row r="238" spans="1:11" x14ac:dyDescent="0.25">
      <c r="A238">
        <v>237</v>
      </c>
      <c r="B238">
        <v>5110</v>
      </c>
      <c r="C238">
        <v>40</v>
      </c>
      <c r="D238">
        <v>21</v>
      </c>
      <c r="E238">
        <v>5</v>
      </c>
      <c r="F238">
        <v>40000</v>
      </c>
      <c r="G238">
        <v>2590.3481495242881</v>
      </c>
      <c r="H238">
        <v>0.15795987028722949</v>
      </c>
      <c r="I238">
        <v>0.19642698811259701</v>
      </c>
      <c r="J238">
        <f>50</f>
        <v>50</v>
      </c>
      <c r="K238">
        <v>1</v>
      </c>
    </row>
    <row r="239" spans="1:11" x14ac:dyDescent="0.25">
      <c r="A239">
        <v>238</v>
      </c>
      <c r="B239">
        <v>5150</v>
      </c>
      <c r="C239">
        <v>40</v>
      </c>
      <c r="D239">
        <v>21</v>
      </c>
      <c r="E239">
        <v>5</v>
      </c>
      <c r="F239">
        <v>40000</v>
      </c>
      <c r="G239">
        <v>2606.386015630068</v>
      </c>
      <c r="H239">
        <v>0.15795987028722949</v>
      </c>
      <c r="I239">
        <v>0.19642698811259701</v>
      </c>
      <c r="J239">
        <f>50</f>
        <v>50</v>
      </c>
      <c r="K239">
        <v>1</v>
      </c>
    </row>
    <row r="240" spans="1:11" x14ac:dyDescent="0.25">
      <c r="A240">
        <v>239</v>
      </c>
      <c r="B240">
        <v>5190</v>
      </c>
      <c r="C240">
        <v>40</v>
      </c>
      <c r="D240">
        <v>21</v>
      </c>
      <c r="E240">
        <v>5</v>
      </c>
      <c r="F240">
        <v>40000</v>
      </c>
      <c r="G240">
        <v>2622.4238817358482</v>
      </c>
      <c r="H240">
        <v>0.15795987028722949</v>
      </c>
      <c r="I240">
        <v>0.19642698811259701</v>
      </c>
      <c r="J240">
        <f>50</f>
        <v>50</v>
      </c>
      <c r="K240">
        <v>1</v>
      </c>
    </row>
    <row r="241" spans="1:11" x14ac:dyDescent="0.25">
      <c r="A241">
        <v>240</v>
      </c>
      <c r="B241">
        <v>5230</v>
      </c>
      <c r="C241">
        <v>40</v>
      </c>
      <c r="D241">
        <v>21</v>
      </c>
      <c r="E241">
        <v>5</v>
      </c>
      <c r="F241">
        <v>40000</v>
      </c>
      <c r="G241">
        <v>2638.4617478416289</v>
      </c>
      <c r="H241">
        <v>0.15795987028722949</v>
      </c>
      <c r="I241">
        <v>0.19642698811259701</v>
      </c>
      <c r="J241">
        <f>50</f>
        <v>50</v>
      </c>
      <c r="K241">
        <v>1</v>
      </c>
    </row>
    <row r="242" spans="1:11" x14ac:dyDescent="0.25">
      <c r="A242">
        <v>241</v>
      </c>
      <c r="B242">
        <v>5270</v>
      </c>
      <c r="C242">
        <v>40</v>
      </c>
      <c r="D242">
        <v>21</v>
      </c>
      <c r="E242">
        <v>5</v>
      </c>
      <c r="F242">
        <v>40000</v>
      </c>
      <c r="G242">
        <v>2654.4996139474101</v>
      </c>
      <c r="H242">
        <v>0.15795987028722949</v>
      </c>
      <c r="I242">
        <v>0.19642698811259701</v>
      </c>
      <c r="J242">
        <f>50</f>
        <v>50</v>
      </c>
      <c r="K242">
        <v>1</v>
      </c>
    </row>
    <row r="243" spans="1:11" x14ac:dyDescent="0.25">
      <c r="A243">
        <v>242</v>
      </c>
      <c r="B243">
        <v>5310</v>
      </c>
      <c r="C243">
        <v>40</v>
      </c>
      <c r="D243">
        <v>21</v>
      </c>
      <c r="E243">
        <v>5</v>
      </c>
      <c r="F243">
        <v>40000</v>
      </c>
      <c r="G243">
        <v>2670.5374800531899</v>
      </c>
      <c r="H243">
        <v>0.15795987028722949</v>
      </c>
      <c r="I243">
        <v>0.19642698811259701</v>
      </c>
      <c r="J243">
        <f>50</f>
        <v>50</v>
      </c>
      <c r="K243">
        <v>1</v>
      </c>
    </row>
    <row r="244" spans="1:11" x14ac:dyDescent="0.25">
      <c r="A244">
        <v>243</v>
      </c>
      <c r="B244">
        <v>5350</v>
      </c>
      <c r="C244">
        <v>40</v>
      </c>
      <c r="D244">
        <v>21</v>
      </c>
      <c r="E244">
        <v>5</v>
      </c>
      <c r="F244">
        <v>40000</v>
      </c>
      <c r="G244">
        <v>2686.5753461589702</v>
      </c>
      <c r="H244">
        <v>0.15795987028722949</v>
      </c>
      <c r="I244">
        <v>0.19642698811259701</v>
      </c>
      <c r="J244">
        <f>50</f>
        <v>50</v>
      </c>
      <c r="K244">
        <v>1</v>
      </c>
    </row>
    <row r="245" spans="1:11" x14ac:dyDescent="0.25">
      <c r="A245">
        <v>244</v>
      </c>
      <c r="B245">
        <v>5390</v>
      </c>
      <c r="C245">
        <v>40</v>
      </c>
      <c r="D245">
        <v>21</v>
      </c>
      <c r="E245">
        <v>5</v>
      </c>
      <c r="F245">
        <v>40000</v>
      </c>
      <c r="G245">
        <v>2702.6132122647509</v>
      </c>
      <c r="H245">
        <v>0.15795987028722949</v>
      </c>
      <c r="I245">
        <v>0.19642698811259701</v>
      </c>
      <c r="J245">
        <f>50</f>
        <v>50</v>
      </c>
      <c r="K245">
        <v>1</v>
      </c>
    </row>
    <row r="246" spans="1:11" x14ac:dyDescent="0.25">
      <c r="A246">
        <v>245</v>
      </c>
      <c r="B246">
        <v>5430</v>
      </c>
      <c r="C246">
        <v>40</v>
      </c>
      <c r="D246">
        <v>21</v>
      </c>
      <c r="E246">
        <v>5</v>
      </c>
      <c r="F246">
        <v>40000</v>
      </c>
      <c r="G246">
        <v>2718.6510783705312</v>
      </c>
      <c r="H246">
        <v>0.15795987028722949</v>
      </c>
      <c r="I246">
        <v>0.19642698811259701</v>
      </c>
      <c r="J246">
        <f>50</f>
        <v>50</v>
      </c>
      <c r="K246">
        <v>1</v>
      </c>
    </row>
    <row r="247" spans="1:11" x14ac:dyDescent="0.25">
      <c r="A247">
        <v>246</v>
      </c>
      <c r="B247">
        <v>5470</v>
      </c>
      <c r="C247">
        <v>40</v>
      </c>
      <c r="D247">
        <v>21</v>
      </c>
      <c r="E247">
        <v>5</v>
      </c>
      <c r="F247">
        <v>40000</v>
      </c>
      <c r="G247">
        <v>2734.6889444763119</v>
      </c>
      <c r="H247">
        <v>0.15795987028722949</v>
      </c>
      <c r="I247">
        <v>0.19642698811259701</v>
      </c>
      <c r="J247">
        <f>50</f>
        <v>50</v>
      </c>
      <c r="K247">
        <v>1</v>
      </c>
    </row>
    <row r="248" spans="1:11" x14ac:dyDescent="0.25">
      <c r="A248">
        <v>247</v>
      </c>
      <c r="B248">
        <v>5510</v>
      </c>
      <c r="C248">
        <v>40</v>
      </c>
      <c r="D248">
        <v>21</v>
      </c>
      <c r="E248">
        <v>5</v>
      </c>
      <c r="F248">
        <v>40000</v>
      </c>
      <c r="G248">
        <v>2750.7268105820922</v>
      </c>
      <c r="H248">
        <v>0.15795987028722949</v>
      </c>
      <c r="I248">
        <v>0.19642698811259701</v>
      </c>
      <c r="J248">
        <f>50</f>
        <v>50</v>
      </c>
      <c r="K248">
        <v>1</v>
      </c>
    </row>
    <row r="249" spans="1:11" x14ac:dyDescent="0.25">
      <c r="A249">
        <v>248</v>
      </c>
      <c r="B249">
        <v>5550</v>
      </c>
      <c r="C249">
        <v>40</v>
      </c>
      <c r="D249">
        <v>21</v>
      </c>
      <c r="E249">
        <v>5</v>
      </c>
      <c r="F249">
        <v>40000</v>
      </c>
      <c r="G249">
        <v>2766.764676687872</v>
      </c>
      <c r="H249">
        <v>0.15795987028722949</v>
      </c>
      <c r="I249">
        <v>0.19642698811259701</v>
      </c>
      <c r="J249">
        <f>50</f>
        <v>50</v>
      </c>
      <c r="K249">
        <v>1</v>
      </c>
    </row>
    <row r="250" spans="1:11" x14ac:dyDescent="0.25">
      <c r="A250">
        <v>249</v>
      </c>
      <c r="B250">
        <v>5590</v>
      </c>
      <c r="C250">
        <v>40</v>
      </c>
      <c r="D250">
        <v>21</v>
      </c>
      <c r="E250">
        <v>5</v>
      </c>
      <c r="F250">
        <v>40000</v>
      </c>
      <c r="G250">
        <v>2782.8025427936532</v>
      </c>
      <c r="H250">
        <v>0.15795987028722949</v>
      </c>
      <c r="I250">
        <v>0.19642698811259701</v>
      </c>
      <c r="J250">
        <f>50</f>
        <v>50</v>
      </c>
      <c r="K250">
        <v>1</v>
      </c>
    </row>
    <row r="251" spans="1:11" x14ac:dyDescent="0.25">
      <c r="A251">
        <v>250</v>
      </c>
      <c r="B251">
        <v>5630</v>
      </c>
      <c r="C251">
        <v>40</v>
      </c>
      <c r="D251">
        <v>21</v>
      </c>
      <c r="E251">
        <v>5</v>
      </c>
      <c r="F251">
        <v>40000</v>
      </c>
      <c r="G251">
        <v>2798.840408899433</v>
      </c>
      <c r="H251">
        <v>0.15795987028722949</v>
      </c>
      <c r="I251">
        <v>0.19642698811259701</v>
      </c>
      <c r="J251">
        <f>50</f>
        <v>50</v>
      </c>
      <c r="K251">
        <v>1</v>
      </c>
    </row>
    <row r="252" spans="1:11" x14ac:dyDescent="0.25">
      <c r="A252">
        <v>251</v>
      </c>
      <c r="B252">
        <v>5670</v>
      </c>
      <c r="C252">
        <v>40</v>
      </c>
      <c r="D252">
        <v>21</v>
      </c>
      <c r="E252">
        <v>5</v>
      </c>
      <c r="F252">
        <v>40000</v>
      </c>
      <c r="G252">
        <v>2814.8782750052142</v>
      </c>
      <c r="H252">
        <v>0.15795987028722949</v>
      </c>
      <c r="I252">
        <v>0.19642698811259701</v>
      </c>
      <c r="J252">
        <f>50</f>
        <v>50</v>
      </c>
      <c r="K252">
        <v>1</v>
      </c>
    </row>
    <row r="253" spans="1:11" x14ac:dyDescent="0.25">
      <c r="A253">
        <v>252</v>
      </c>
      <c r="B253">
        <v>5710</v>
      </c>
      <c r="C253">
        <v>40</v>
      </c>
      <c r="D253">
        <v>21</v>
      </c>
      <c r="E253">
        <v>5</v>
      </c>
      <c r="F253">
        <v>40000</v>
      </c>
      <c r="G253">
        <v>2830.916141110994</v>
      </c>
      <c r="H253">
        <v>0.15795987028722949</v>
      </c>
      <c r="I253">
        <v>0.19642698811259701</v>
      </c>
      <c r="J253">
        <f>50</f>
        <v>50</v>
      </c>
      <c r="K253">
        <v>1</v>
      </c>
    </row>
    <row r="254" spans="1:11" x14ac:dyDescent="0.25">
      <c r="A254">
        <v>253</v>
      </c>
      <c r="B254">
        <v>5750</v>
      </c>
      <c r="C254">
        <v>40</v>
      </c>
      <c r="D254">
        <v>21</v>
      </c>
      <c r="E254">
        <v>5</v>
      </c>
      <c r="F254">
        <v>40000</v>
      </c>
      <c r="G254">
        <v>2846.9540072167752</v>
      </c>
      <c r="H254">
        <v>0.15795987028722949</v>
      </c>
      <c r="I254">
        <v>0.19642698811259701</v>
      </c>
      <c r="J254">
        <f>50</f>
        <v>50</v>
      </c>
      <c r="K254">
        <v>1</v>
      </c>
    </row>
    <row r="255" spans="1:11" x14ac:dyDescent="0.25">
      <c r="A255">
        <v>254</v>
      </c>
      <c r="B255">
        <v>5790</v>
      </c>
      <c r="C255">
        <v>40</v>
      </c>
      <c r="D255">
        <v>21</v>
      </c>
      <c r="E255">
        <v>5</v>
      </c>
      <c r="F255">
        <v>40000</v>
      </c>
      <c r="G255">
        <v>2862.991873322555</v>
      </c>
      <c r="H255">
        <v>0.15795987028722949</v>
      </c>
      <c r="I255">
        <v>0.19642698811259701</v>
      </c>
      <c r="J255">
        <f>50</f>
        <v>50</v>
      </c>
      <c r="K255">
        <v>1</v>
      </c>
    </row>
    <row r="256" spans="1:11" x14ac:dyDescent="0.25">
      <c r="A256">
        <v>255</v>
      </c>
      <c r="B256">
        <v>5830</v>
      </c>
      <c r="C256">
        <v>40</v>
      </c>
      <c r="D256">
        <v>21</v>
      </c>
      <c r="E256">
        <v>5</v>
      </c>
      <c r="F256">
        <v>40000</v>
      </c>
      <c r="G256">
        <v>2879.0297394283361</v>
      </c>
      <c r="H256">
        <v>0.15795987028722949</v>
      </c>
      <c r="I256">
        <v>0.19642698811259701</v>
      </c>
      <c r="J256">
        <f>50</f>
        <v>50</v>
      </c>
      <c r="K256">
        <v>1</v>
      </c>
    </row>
    <row r="257" spans="1:11" x14ac:dyDescent="0.25">
      <c r="A257">
        <v>256</v>
      </c>
      <c r="B257">
        <v>5870</v>
      </c>
      <c r="C257">
        <v>40</v>
      </c>
      <c r="D257">
        <v>21</v>
      </c>
      <c r="E257">
        <v>5</v>
      </c>
      <c r="F257">
        <v>40000</v>
      </c>
      <c r="G257">
        <v>2895.067605534116</v>
      </c>
      <c r="H257">
        <v>0.15795987028722949</v>
      </c>
      <c r="I257">
        <v>0.19642698811259701</v>
      </c>
      <c r="J257">
        <f>50</f>
        <v>50</v>
      </c>
      <c r="K257">
        <v>1</v>
      </c>
    </row>
    <row r="258" spans="1:11" x14ac:dyDescent="0.25">
      <c r="A258">
        <v>257</v>
      </c>
      <c r="B258">
        <v>5910</v>
      </c>
      <c r="C258">
        <v>40</v>
      </c>
      <c r="D258">
        <v>21</v>
      </c>
      <c r="E258">
        <v>5</v>
      </c>
      <c r="F258">
        <v>40000</v>
      </c>
      <c r="G258">
        <v>2911.1054716398971</v>
      </c>
      <c r="H258">
        <v>0.15795987028722949</v>
      </c>
      <c r="I258">
        <v>0.19642698811259701</v>
      </c>
      <c r="J258">
        <f>50</f>
        <v>50</v>
      </c>
      <c r="K258">
        <v>1</v>
      </c>
    </row>
    <row r="259" spans="1:11" x14ac:dyDescent="0.25">
      <c r="A259">
        <v>258</v>
      </c>
      <c r="B259">
        <v>5950</v>
      </c>
      <c r="C259">
        <v>40</v>
      </c>
      <c r="D259">
        <v>21</v>
      </c>
      <c r="E259">
        <v>5</v>
      </c>
      <c r="F259">
        <v>40000</v>
      </c>
      <c r="G259">
        <v>2927.1433377456769</v>
      </c>
      <c r="H259">
        <v>0.15795987028722949</v>
      </c>
      <c r="I259">
        <v>0.19642698811259701</v>
      </c>
      <c r="J259">
        <f>50</f>
        <v>50</v>
      </c>
      <c r="K259">
        <v>1</v>
      </c>
    </row>
    <row r="260" spans="1:11" x14ac:dyDescent="0.25">
      <c r="A260">
        <v>259</v>
      </c>
      <c r="B260">
        <v>5985</v>
      </c>
      <c r="C260">
        <v>30</v>
      </c>
      <c r="D260">
        <v>21</v>
      </c>
      <c r="E260">
        <v>5</v>
      </c>
      <c r="F260">
        <v>40000</v>
      </c>
      <c r="G260">
        <v>2941.1764705882351</v>
      </c>
      <c r="H260">
        <v>0.15795987028722949</v>
      </c>
      <c r="I260">
        <v>0.19642698811259701</v>
      </c>
      <c r="J260">
        <f>50</f>
        <v>50</v>
      </c>
      <c r="K260">
        <v>1</v>
      </c>
    </row>
    <row r="261" spans="1:11" x14ac:dyDescent="0.25">
      <c r="A261">
        <v>260</v>
      </c>
      <c r="B261">
        <v>6025</v>
      </c>
      <c r="C261">
        <v>50</v>
      </c>
      <c r="D261">
        <v>21</v>
      </c>
      <c r="E261">
        <v>5</v>
      </c>
      <c r="F261">
        <v>40000</v>
      </c>
      <c r="G261">
        <v>2949.642842024336</v>
      </c>
      <c r="H261">
        <v>0.15795987028722949</v>
      </c>
      <c r="I261">
        <v>0.19642698811259701</v>
      </c>
      <c r="J261">
        <f>50</f>
        <v>50</v>
      </c>
      <c r="K261">
        <v>1</v>
      </c>
    </row>
    <row r="262" spans="1:11" x14ac:dyDescent="0.25">
      <c r="A262">
        <v>261</v>
      </c>
      <c r="B262">
        <v>6075</v>
      </c>
      <c r="C262">
        <v>50</v>
      </c>
      <c r="D262">
        <v>21</v>
      </c>
      <c r="E262">
        <v>5</v>
      </c>
      <c r="F262">
        <v>50000</v>
      </c>
      <c r="G262">
        <v>2960.2258063194631</v>
      </c>
      <c r="H262">
        <v>0.14804661043628459</v>
      </c>
      <c r="I262">
        <v>0.1840996053959752</v>
      </c>
      <c r="J262">
        <f>50</f>
        <v>50</v>
      </c>
      <c r="K262">
        <v>1</v>
      </c>
    </row>
    <row r="263" spans="1:11" x14ac:dyDescent="0.25">
      <c r="A263">
        <v>262</v>
      </c>
      <c r="B263">
        <v>6125</v>
      </c>
      <c r="C263">
        <v>50</v>
      </c>
      <c r="D263">
        <v>21</v>
      </c>
      <c r="E263">
        <v>5</v>
      </c>
      <c r="F263">
        <v>50000</v>
      </c>
      <c r="G263">
        <v>2970.8087706145898</v>
      </c>
      <c r="H263">
        <v>0.14804661043628459</v>
      </c>
      <c r="I263">
        <v>0.1840996053959752</v>
      </c>
      <c r="J263">
        <f>50</f>
        <v>50</v>
      </c>
      <c r="K263">
        <v>1</v>
      </c>
    </row>
    <row r="264" spans="1:11" x14ac:dyDescent="0.25">
      <c r="A264">
        <v>263</v>
      </c>
      <c r="B264">
        <v>6175</v>
      </c>
      <c r="C264">
        <v>50</v>
      </c>
      <c r="D264">
        <v>21</v>
      </c>
      <c r="E264">
        <v>5</v>
      </c>
      <c r="F264">
        <v>50000</v>
      </c>
      <c r="G264">
        <v>2981.3917349097169</v>
      </c>
      <c r="H264">
        <v>0.14804661043628459</v>
      </c>
      <c r="I264">
        <v>0.1840996053959752</v>
      </c>
      <c r="J264">
        <f>50</f>
        <v>50</v>
      </c>
      <c r="K264">
        <v>1</v>
      </c>
    </row>
    <row r="265" spans="1:11" x14ac:dyDescent="0.25">
      <c r="A265">
        <v>264</v>
      </c>
      <c r="B265">
        <v>6225</v>
      </c>
      <c r="C265">
        <v>50</v>
      </c>
      <c r="D265">
        <v>21</v>
      </c>
      <c r="E265">
        <v>5</v>
      </c>
      <c r="F265">
        <v>50000</v>
      </c>
      <c r="G265">
        <v>2991.974699204844</v>
      </c>
      <c r="H265">
        <v>0.14804661043628459</v>
      </c>
      <c r="I265">
        <v>0.1840996053959752</v>
      </c>
      <c r="J265">
        <f>50</f>
        <v>50</v>
      </c>
      <c r="K265">
        <v>1</v>
      </c>
    </row>
    <row r="266" spans="1:11" x14ac:dyDescent="0.25">
      <c r="A266">
        <v>265</v>
      </c>
      <c r="B266">
        <v>6275</v>
      </c>
      <c r="C266">
        <v>50</v>
      </c>
      <c r="D266">
        <v>21</v>
      </c>
      <c r="E266">
        <v>5</v>
      </c>
      <c r="F266">
        <v>50000</v>
      </c>
      <c r="G266">
        <v>3002.5576634999711</v>
      </c>
      <c r="H266">
        <v>0.14804661043628459</v>
      </c>
      <c r="I266">
        <v>0.1840996053959752</v>
      </c>
      <c r="J266">
        <f>50</f>
        <v>50</v>
      </c>
      <c r="K266">
        <v>1</v>
      </c>
    </row>
    <row r="267" spans="1:11" x14ac:dyDescent="0.25">
      <c r="A267">
        <v>266</v>
      </c>
      <c r="B267">
        <v>6325</v>
      </c>
      <c r="C267">
        <v>50</v>
      </c>
      <c r="D267">
        <v>21</v>
      </c>
      <c r="E267">
        <v>5</v>
      </c>
      <c r="F267">
        <v>50000</v>
      </c>
      <c r="G267">
        <v>3013.1406277950969</v>
      </c>
      <c r="H267">
        <v>0.14804661043628459</v>
      </c>
      <c r="I267">
        <v>0.1840996053959752</v>
      </c>
      <c r="J267">
        <f>50</f>
        <v>50</v>
      </c>
      <c r="K267">
        <v>1</v>
      </c>
    </row>
    <row r="268" spans="1:11" x14ac:dyDescent="0.25">
      <c r="A268">
        <v>267</v>
      </c>
      <c r="B268">
        <v>6375</v>
      </c>
      <c r="C268">
        <v>50</v>
      </c>
      <c r="D268">
        <v>21</v>
      </c>
      <c r="E268">
        <v>5</v>
      </c>
      <c r="F268">
        <v>50000</v>
      </c>
      <c r="G268">
        <v>3023.723592090224</v>
      </c>
      <c r="H268">
        <v>0.14804661043628459</v>
      </c>
      <c r="I268">
        <v>0.1840996053959752</v>
      </c>
      <c r="J268">
        <f>50</f>
        <v>50</v>
      </c>
      <c r="K268">
        <v>1</v>
      </c>
    </row>
    <row r="269" spans="1:11" x14ac:dyDescent="0.25">
      <c r="A269">
        <v>268</v>
      </c>
      <c r="B269">
        <v>6425</v>
      </c>
      <c r="C269">
        <v>50</v>
      </c>
      <c r="D269">
        <v>21</v>
      </c>
      <c r="E269">
        <v>5</v>
      </c>
      <c r="F269">
        <v>50000</v>
      </c>
      <c r="G269">
        <v>3034.3065563853511</v>
      </c>
      <c r="H269">
        <v>0.14804661043628459</v>
      </c>
      <c r="I269">
        <v>0.1840996053959752</v>
      </c>
      <c r="J269">
        <f>50</f>
        <v>50</v>
      </c>
      <c r="K269">
        <v>1</v>
      </c>
    </row>
    <row r="270" spans="1:11" x14ac:dyDescent="0.25">
      <c r="A270">
        <v>269</v>
      </c>
      <c r="B270">
        <v>6475</v>
      </c>
      <c r="C270">
        <v>50</v>
      </c>
      <c r="D270">
        <v>21</v>
      </c>
      <c r="E270">
        <v>5</v>
      </c>
      <c r="F270">
        <v>50000</v>
      </c>
      <c r="G270">
        <v>3044.8895206804782</v>
      </c>
      <c r="H270">
        <v>0.14804661043628459</v>
      </c>
      <c r="I270">
        <v>0.1840996053959752</v>
      </c>
      <c r="J270">
        <f>50</f>
        <v>50</v>
      </c>
      <c r="K270">
        <v>1</v>
      </c>
    </row>
    <row r="271" spans="1:11" x14ac:dyDescent="0.25">
      <c r="A271">
        <v>270</v>
      </c>
      <c r="B271">
        <v>6525</v>
      </c>
      <c r="C271">
        <v>50</v>
      </c>
      <c r="D271">
        <v>21</v>
      </c>
      <c r="E271">
        <v>5</v>
      </c>
      <c r="F271">
        <v>50000</v>
      </c>
      <c r="G271">
        <v>3055.4724849756039</v>
      </c>
      <c r="H271">
        <v>0.14804661043628459</v>
      </c>
      <c r="I271">
        <v>0.1840996053959752</v>
      </c>
      <c r="J271">
        <f>50</f>
        <v>50</v>
      </c>
      <c r="K271">
        <v>1</v>
      </c>
    </row>
    <row r="272" spans="1:11" x14ac:dyDescent="0.25">
      <c r="A272">
        <v>271</v>
      </c>
      <c r="B272">
        <v>6575</v>
      </c>
      <c r="C272">
        <v>50</v>
      </c>
      <c r="D272">
        <v>21</v>
      </c>
      <c r="E272">
        <v>5</v>
      </c>
      <c r="F272">
        <v>50000</v>
      </c>
      <c r="G272">
        <v>3066.0554492707311</v>
      </c>
      <c r="H272">
        <v>0.14804661043628459</v>
      </c>
      <c r="I272">
        <v>0.1840996053959752</v>
      </c>
      <c r="J272">
        <f>50</f>
        <v>50</v>
      </c>
      <c r="K272">
        <v>1</v>
      </c>
    </row>
    <row r="273" spans="1:11" x14ac:dyDescent="0.25">
      <c r="A273">
        <v>272</v>
      </c>
      <c r="B273">
        <v>6625</v>
      </c>
      <c r="C273">
        <v>50</v>
      </c>
      <c r="D273">
        <v>21</v>
      </c>
      <c r="E273">
        <v>5</v>
      </c>
      <c r="F273">
        <v>50000</v>
      </c>
      <c r="G273">
        <v>3076.6384135658582</v>
      </c>
      <c r="H273">
        <v>0.14804661043628459</v>
      </c>
      <c r="I273">
        <v>0.1840996053959752</v>
      </c>
      <c r="J273">
        <f>50</f>
        <v>50</v>
      </c>
      <c r="K273">
        <v>1</v>
      </c>
    </row>
    <row r="274" spans="1:11" x14ac:dyDescent="0.25">
      <c r="A274">
        <v>273</v>
      </c>
      <c r="B274">
        <v>6675</v>
      </c>
      <c r="C274">
        <v>50</v>
      </c>
      <c r="D274">
        <v>21</v>
      </c>
      <c r="E274">
        <v>5</v>
      </c>
      <c r="F274">
        <v>50000</v>
      </c>
      <c r="G274">
        <v>3087.2213778609848</v>
      </c>
      <c r="H274">
        <v>0.14804661043628459</v>
      </c>
      <c r="I274">
        <v>0.1840996053959752</v>
      </c>
      <c r="J274">
        <f>50</f>
        <v>50</v>
      </c>
      <c r="K274">
        <v>1</v>
      </c>
    </row>
    <row r="275" spans="1:11" x14ac:dyDescent="0.25">
      <c r="A275">
        <v>274</v>
      </c>
      <c r="B275">
        <v>6725</v>
      </c>
      <c r="C275">
        <v>50</v>
      </c>
      <c r="D275">
        <v>21</v>
      </c>
      <c r="E275">
        <v>5</v>
      </c>
      <c r="F275">
        <v>50000</v>
      </c>
      <c r="G275">
        <v>3097.804342156111</v>
      </c>
      <c r="H275">
        <v>0.14804661043628459</v>
      </c>
      <c r="I275">
        <v>0.1840996053959752</v>
      </c>
      <c r="J275">
        <f>50</f>
        <v>50</v>
      </c>
      <c r="K275">
        <v>1</v>
      </c>
    </row>
    <row r="276" spans="1:11" x14ac:dyDescent="0.25">
      <c r="A276">
        <v>275</v>
      </c>
      <c r="B276">
        <v>6775</v>
      </c>
      <c r="C276">
        <v>50</v>
      </c>
      <c r="D276">
        <v>21</v>
      </c>
      <c r="E276">
        <v>5</v>
      </c>
      <c r="F276">
        <v>50000</v>
      </c>
      <c r="G276">
        <v>3108.3873064512381</v>
      </c>
      <c r="H276">
        <v>0.14804661043628459</v>
      </c>
      <c r="I276">
        <v>0.1840996053959752</v>
      </c>
      <c r="J276">
        <f>50</f>
        <v>50</v>
      </c>
      <c r="K276">
        <v>1</v>
      </c>
    </row>
    <row r="277" spans="1:11" x14ac:dyDescent="0.25">
      <c r="A277">
        <v>276</v>
      </c>
      <c r="B277">
        <v>6825</v>
      </c>
      <c r="C277">
        <v>50</v>
      </c>
      <c r="D277">
        <v>21</v>
      </c>
      <c r="E277">
        <v>5</v>
      </c>
      <c r="F277">
        <v>50000</v>
      </c>
      <c r="G277">
        <v>3118.9702707463648</v>
      </c>
      <c r="H277">
        <v>0.14804661043628459</v>
      </c>
      <c r="I277">
        <v>0.1840996053959752</v>
      </c>
      <c r="J277">
        <f>50</f>
        <v>50</v>
      </c>
      <c r="K277">
        <v>1</v>
      </c>
    </row>
    <row r="278" spans="1:11" x14ac:dyDescent="0.25">
      <c r="A278">
        <v>277</v>
      </c>
      <c r="B278">
        <v>6875</v>
      </c>
      <c r="C278">
        <v>50</v>
      </c>
      <c r="D278">
        <v>21</v>
      </c>
      <c r="E278">
        <v>5</v>
      </c>
      <c r="F278">
        <v>50000</v>
      </c>
      <c r="G278">
        <v>3129.5532350414919</v>
      </c>
      <c r="H278">
        <v>0.14804661043628459</v>
      </c>
      <c r="I278">
        <v>0.1840996053959752</v>
      </c>
      <c r="J278">
        <f>50</f>
        <v>50</v>
      </c>
      <c r="K278">
        <v>1</v>
      </c>
    </row>
    <row r="279" spans="1:11" x14ac:dyDescent="0.25">
      <c r="A279">
        <v>278</v>
      </c>
      <c r="B279">
        <v>6925</v>
      </c>
      <c r="C279">
        <v>50</v>
      </c>
      <c r="D279">
        <v>21</v>
      </c>
      <c r="E279">
        <v>5</v>
      </c>
      <c r="F279">
        <v>50000</v>
      </c>
      <c r="G279">
        <v>3140.136199336619</v>
      </c>
      <c r="H279">
        <v>0.14804661043628459</v>
      </c>
      <c r="I279">
        <v>0.1840996053959752</v>
      </c>
      <c r="J279">
        <f>50</f>
        <v>50</v>
      </c>
      <c r="K279">
        <v>1</v>
      </c>
    </row>
    <row r="280" spans="1:11" x14ac:dyDescent="0.25">
      <c r="A280">
        <v>279</v>
      </c>
      <c r="B280">
        <v>6975</v>
      </c>
      <c r="C280">
        <v>50</v>
      </c>
      <c r="D280">
        <v>21</v>
      </c>
      <c r="E280">
        <v>5</v>
      </c>
      <c r="F280">
        <v>50000</v>
      </c>
      <c r="G280">
        <v>3150.7191636317461</v>
      </c>
      <c r="H280">
        <v>0.14804661043628459</v>
      </c>
      <c r="I280">
        <v>0.1840996053959752</v>
      </c>
      <c r="J280">
        <f>50</f>
        <v>50</v>
      </c>
      <c r="K280">
        <v>1</v>
      </c>
    </row>
    <row r="281" spans="1:11" x14ac:dyDescent="0.25">
      <c r="A281">
        <v>280</v>
      </c>
      <c r="B281">
        <v>7025</v>
      </c>
      <c r="C281">
        <v>50</v>
      </c>
      <c r="D281">
        <v>21</v>
      </c>
      <c r="E281">
        <v>5</v>
      </c>
      <c r="F281">
        <v>50000</v>
      </c>
      <c r="G281">
        <v>3161.3021279268719</v>
      </c>
      <c r="H281">
        <v>0.14804661043628459</v>
      </c>
      <c r="I281">
        <v>0.1840996053959752</v>
      </c>
      <c r="J281">
        <f>50</f>
        <v>50</v>
      </c>
      <c r="K281">
        <v>1</v>
      </c>
    </row>
    <row r="282" spans="1:11" x14ac:dyDescent="0.25">
      <c r="A282">
        <v>281</v>
      </c>
      <c r="B282">
        <v>7075</v>
      </c>
      <c r="C282">
        <v>50</v>
      </c>
      <c r="D282">
        <v>21</v>
      </c>
      <c r="E282">
        <v>5</v>
      </c>
      <c r="F282">
        <v>50000</v>
      </c>
      <c r="G282">
        <v>3171.885092221999</v>
      </c>
      <c r="H282">
        <v>0.14804661043628459</v>
      </c>
      <c r="I282">
        <v>0.1840996053959752</v>
      </c>
      <c r="J282">
        <f>50</f>
        <v>50</v>
      </c>
      <c r="K282">
        <v>1</v>
      </c>
    </row>
    <row r="283" spans="1:11" x14ac:dyDescent="0.25">
      <c r="A283">
        <v>282</v>
      </c>
      <c r="B283">
        <v>7125</v>
      </c>
      <c r="C283">
        <v>50</v>
      </c>
      <c r="D283">
        <v>21</v>
      </c>
      <c r="E283">
        <v>5</v>
      </c>
      <c r="F283">
        <v>50000</v>
      </c>
      <c r="G283">
        <v>3182.4680565171261</v>
      </c>
      <c r="H283">
        <v>0.14804661043628459</v>
      </c>
      <c r="I283">
        <v>0.1840996053959752</v>
      </c>
      <c r="J283">
        <f>50</f>
        <v>50</v>
      </c>
      <c r="K283">
        <v>1</v>
      </c>
    </row>
    <row r="284" spans="1:11" x14ac:dyDescent="0.25">
      <c r="A284">
        <v>283</v>
      </c>
      <c r="B284">
        <v>7175</v>
      </c>
      <c r="C284">
        <v>50</v>
      </c>
      <c r="D284">
        <v>21</v>
      </c>
      <c r="E284">
        <v>5</v>
      </c>
      <c r="F284">
        <v>50000</v>
      </c>
      <c r="G284">
        <v>3193.0510208122528</v>
      </c>
      <c r="H284">
        <v>0.14804661043628459</v>
      </c>
      <c r="I284">
        <v>0.1840996053959752</v>
      </c>
      <c r="J284">
        <f>50</f>
        <v>50</v>
      </c>
      <c r="K284">
        <v>1</v>
      </c>
    </row>
    <row r="285" spans="1:11" x14ac:dyDescent="0.25">
      <c r="A285">
        <v>284</v>
      </c>
      <c r="B285">
        <v>7225</v>
      </c>
      <c r="C285">
        <v>50</v>
      </c>
      <c r="D285">
        <v>21</v>
      </c>
      <c r="E285">
        <v>5</v>
      </c>
      <c r="F285">
        <v>50000</v>
      </c>
      <c r="G285">
        <v>3203.633985107379</v>
      </c>
      <c r="H285">
        <v>0.14804661043628459</v>
      </c>
      <c r="I285">
        <v>0.1840996053959752</v>
      </c>
      <c r="J285">
        <f>50</f>
        <v>50</v>
      </c>
      <c r="K285">
        <v>1</v>
      </c>
    </row>
    <row r="286" spans="1:11" x14ac:dyDescent="0.25">
      <c r="A286">
        <v>285</v>
      </c>
      <c r="B286">
        <v>7275</v>
      </c>
      <c r="C286">
        <v>50</v>
      </c>
      <c r="D286">
        <v>21</v>
      </c>
      <c r="E286">
        <v>5</v>
      </c>
      <c r="F286">
        <v>50000</v>
      </c>
      <c r="G286">
        <v>3214.2169494025061</v>
      </c>
      <c r="H286">
        <v>0.14804661043628459</v>
      </c>
      <c r="I286">
        <v>0.1840996053959752</v>
      </c>
      <c r="J286">
        <f>50</f>
        <v>50</v>
      </c>
      <c r="K286">
        <v>1</v>
      </c>
    </row>
    <row r="287" spans="1:11" x14ac:dyDescent="0.25">
      <c r="A287">
        <v>286</v>
      </c>
      <c r="B287">
        <v>7325</v>
      </c>
      <c r="C287">
        <v>50</v>
      </c>
      <c r="D287">
        <v>21</v>
      </c>
      <c r="E287">
        <v>5</v>
      </c>
      <c r="F287">
        <v>50000</v>
      </c>
      <c r="G287">
        <v>3224.7999136976332</v>
      </c>
      <c r="H287">
        <v>0.14804661043628459</v>
      </c>
      <c r="I287">
        <v>0.1840996053959752</v>
      </c>
      <c r="J287">
        <f>50</f>
        <v>50</v>
      </c>
      <c r="K287">
        <v>1</v>
      </c>
    </row>
    <row r="288" spans="1:11" x14ac:dyDescent="0.25">
      <c r="A288">
        <v>287</v>
      </c>
      <c r="B288">
        <v>7375</v>
      </c>
      <c r="C288">
        <v>50</v>
      </c>
      <c r="D288">
        <v>21</v>
      </c>
      <c r="E288">
        <v>5</v>
      </c>
      <c r="F288">
        <v>50000</v>
      </c>
      <c r="G288">
        <v>3235.3828779927599</v>
      </c>
      <c r="H288">
        <v>0.14804661043628459</v>
      </c>
      <c r="I288">
        <v>0.1840996053959752</v>
      </c>
      <c r="J288">
        <f>50</f>
        <v>50</v>
      </c>
      <c r="K288">
        <v>1</v>
      </c>
    </row>
    <row r="289" spans="1:11" x14ac:dyDescent="0.25">
      <c r="A289">
        <v>288</v>
      </c>
      <c r="B289">
        <v>7425</v>
      </c>
      <c r="C289">
        <v>50</v>
      </c>
      <c r="D289">
        <v>21</v>
      </c>
      <c r="E289">
        <v>5</v>
      </c>
      <c r="F289">
        <v>60000</v>
      </c>
      <c r="G289">
        <v>3245.965842287887</v>
      </c>
      <c r="H289">
        <v>0.14041112205886819</v>
      </c>
      <c r="I289">
        <v>0.17460468759174161</v>
      </c>
      <c r="J289">
        <f>50</f>
        <v>50</v>
      </c>
      <c r="K289">
        <v>1</v>
      </c>
    </row>
    <row r="290" spans="1:11" x14ac:dyDescent="0.25">
      <c r="A290">
        <v>289</v>
      </c>
      <c r="B290">
        <v>7475</v>
      </c>
      <c r="C290">
        <v>50</v>
      </c>
      <c r="D290">
        <v>21</v>
      </c>
      <c r="E290">
        <v>5</v>
      </c>
      <c r="F290">
        <v>60000</v>
      </c>
      <c r="G290">
        <v>3256.5488065830132</v>
      </c>
      <c r="H290">
        <v>0.14041112205886819</v>
      </c>
      <c r="I290">
        <v>0.17460468759174161</v>
      </c>
      <c r="J290">
        <f>50</f>
        <v>50</v>
      </c>
      <c r="K290">
        <v>1</v>
      </c>
    </row>
    <row r="291" spans="1:11" x14ac:dyDescent="0.25">
      <c r="A291">
        <v>290</v>
      </c>
      <c r="B291">
        <v>7525</v>
      </c>
      <c r="C291">
        <v>50</v>
      </c>
      <c r="D291">
        <v>21</v>
      </c>
      <c r="E291">
        <v>5</v>
      </c>
      <c r="F291">
        <v>60000</v>
      </c>
      <c r="G291">
        <v>3267.1317708781398</v>
      </c>
      <c r="H291">
        <v>0.14041112205886819</v>
      </c>
      <c r="I291">
        <v>0.17460468759174161</v>
      </c>
      <c r="J291">
        <f>50</f>
        <v>50</v>
      </c>
      <c r="K291">
        <v>1</v>
      </c>
    </row>
    <row r="292" spans="1:11" x14ac:dyDescent="0.25">
      <c r="A292">
        <v>291</v>
      </c>
      <c r="B292">
        <v>7575</v>
      </c>
      <c r="C292">
        <v>50</v>
      </c>
      <c r="D292">
        <v>21</v>
      </c>
      <c r="E292">
        <v>5</v>
      </c>
      <c r="F292">
        <v>60000</v>
      </c>
      <c r="G292">
        <v>3277.7147351732669</v>
      </c>
      <c r="H292">
        <v>0.14041112205886819</v>
      </c>
      <c r="I292">
        <v>0.17460468759174161</v>
      </c>
      <c r="J292">
        <f>50</f>
        <v>50</v>
      </c>
      <c r="K292">
        <v>1</v>
      </c>
    </row>
    <row r="293" spans="1:11" x14ac:dyDescent="0.25">
      <c r="A293">
        <v>292</v>
      </c>
      <c r="B293">
        <v>7625</v>
      </c>
      <c r="C293">
        <v>50</v>
      </c>
      <c r="D293">
        <v>21</v>
      </c>
      <c r="E293">
        <v>5</v>
      </c>
      <c r="F293">
        <v>60000</v>
      </c>
      <c r="G293">
        <v>3288.2976994683941</v>
      </c>
      <c r="H293">
        <v>0.14041112205886819</v>
      </c>
      <c r="I293">
        <v>0.17460468759174161</v>
      </c>
      <c r="J293">
        <f>50</f>
        <v>50</v>
      </c>
      <c r="K293">
        <v>1</v>
      </c>
    </row>
    <row r="294" spans="1:11" x14ac:dyDescent="0.25">
      <c r="A294">
        <v>293</v>
      </c>
      <c r="B294">
        <v>7675</v>
      </c>
      <c r="C294">
        <v>50</v>
      </c>
      <c r="D294">
        <v>21</v>
      </c>
      <c r="E294">
        <v>5</v>
      </c>
      <c r="F294">
        <v>60000</v>
      </c>
      <c r="G294">
        <v>3298.8806637635212</v>
      </c>
      <c r="H294">
        <v>0.14041112205886819</v>
      </c>
      <c r="I294">
        <v>0.17460468759174161</v>
      </c>
      <c r="J294">
        <f>50</f>
        <v>50</v>
      </c>
      <c r="K294">
        <v>1</v>
      </c>
    </row>
    <row r="295" spans="1:11" x14ac:dyDescent="0.25">
      <c r="A295">
        <v>294</v>
      </c>
      <c r="B295">
        <v>7725</v>
      </c>
      <c r="C295">
        <v>50</v>
      </c>
      <c r="D295">
        <v>21</v>
      </c>
      <c r="E295">
        <v>5</v>
      </c>
      <c r="F295">
        <v>60000</v>
      </c>
      <c r="G295">
        <v>3309.4636280586469</v>
      </c>
      <c r="H295">
        <v>0.14041112205886819</v>
      </c>
      <c r="I295">
        <v>0.17460468759174161</v>
      </c>
      <c r="J295">
        <f>50</f>
        <v>50</v>
      </c>
      <c r="K295">
        <v>1</v>
      </c>
    </row>
    <row r="296" spans="1:11" x14ac:dyDescent="0.25">
      <c r="A296">
        <v>295</v>
      </c>
      <c r="B296">
        <v>7775</v>
      </c>
      <c r="C296">
        <v>50</v>
      </c>
      <c r="D296">
        <v>21</v>
      </c>
      <c r="E296">
        <v>5</v>
      </c>
      <c r="F296">
        <v>60000</v>
      </c>
      <c r="G296">
        <v>3320.046592353774</v>
      </c>
      <c r="H296">
        <v>0.14041112205886819</v>
      </c>
      <c r="I296">
        <v>0.17460468759174161</v>
      </c>
      <c r="J296">
        <f>50</f>
        <v>50</v>
      </c>
      <c r="K296">
        <v>1</v>
      </c>
    </row>
    <row r="297" spans="1:11" x14ac:dyDescent="0.25">
      <c r="A297">
        <v>296</v>
      </c>
      <c r="B297">
        <v>7825</v>
      </c>
      <c r="C297">
        <v>50</v>
      </c>
      <c r="D297">
        <v>21</v>
      </c>
      <c r="E297">
        <v>5</v>
      </c>
      <c r="F297">
        <v>60000</v>
      </c>
      <c r="G297">
        <v>3330.6295566489011</v>
      </c>
      <c r="H297">
        <v>0.14041112205886819</v>
      </c>
      <c r="I297">
        <v>0.17460468759174161</v>
      </c>
      <c r="J297">
        <f>50</f>
        <v>50</v>
      </c>
      <c r="K297">
        <v>1</v>
      </c>
    </row>
    <row r="298" spans="1:11" x14ac:dyDescent="0.25">
      <c r="A298">
        <v>297</v>
      </c>
      <c r="B298">
        <v>7875</v>
      </c>
      <c r="C298">
        <v>50</v>
      </c>
      <c r="D298">
        <v>21</v>
      </c>
      <c r="E298">
        <v>5</v>
      </c>
      <c r="F298">
        <v>60000</v>
      </c>
      <c r="G298">
        <v>3341.2125209440278</v>
      </c>
      <c r="H298">
        <v>0.14041112205886819</v>
      </c>
      <c r="I298">
        <v>0.17460468759174161</v>
      </c>
      <c r="J298">
        <f>50</f>
        <v>50</v>
      </c>
      <c r="K298">
        <v>1</v>
      </c>
    </row>
    <row r="299" spans="1:11" x14ac:dyDescent="0.25">
      <c r="A299">
        <v>298</v>
      </c>
      <c r="B299">
        <v>7925</v>
      </c>
      <c r="C299">
        <v>50</v>
      </c>
      <c r="D299">
        <v>21</v>
      </c>
      <c r="E299">
        <v>5</v>
      </c>
      <c r="F299">
        <v>60000</v>
      </c>
      <c r="G299">
        <v>3351.795485239154</v>
      </c>
      <c r="H299">
        <v>0.14041112205886819</v>
      </c>
      <c r="I299">
        <v>0.17460468759174161</v>
      </c>
      <c r="J299">
        <f>50</f>
        <v>50</v>
      </c>
      <c r="K299">
        <v>1</v>
      </c>
    </row>
    <row r="300" spans="1:11" x14ac:dyDescent="0.25">
      <c r="A300">
        <v>299</v>
      </c>
      <c r="B300">
        <v>7975</v>
      </c>
      <c r="C300">
        <v>50</v>
      </c>
      <c r="D300">
        <v>21</v>
      </c>
      <c r="E300">
        <v>5</v>
      </c>
      <c r="F300">
        <v>60000</v>
      </c>
      <c r="G300">
        <v>3362.3784495342811</v>
      </c>
      <c r="H300">
        <v>0.14041112205886819</v>
      </c>
      <c r="I300">
        <v>0.17460468759174161</v>
      </c>
      <c r="J300">
        <f>50</f>
        <v>50</v>
      </c>
      <c r="K300">
        <v>1</v>
      </c>
    </row>
    <row r="301" spans="1:11" x14ac:dyDescent="0.25">
      <c r="A301">
        <v>300</v>
      </c>
      <c r="B301">
        <v>8025</v>
      </c>
      <c r="C301">
        <v>50</v>
      </c>
      <c r="D301">
        <v>21</v>
      </c>
      <c r="E301">
        <v>5</v>
      </c>
      <c r="F301">
        <v>60000</v>
      </c>
      <c r="G301">
        <v>3372.9614138294078</v>
      </c>
      <c r="H301">
        <v>0.14041112205886819</v>
      </c>
      <c r="I301">
        <v>0.17460468759174161</v>
      </c>
      <c r="J301">
        <f>50</f>
        <v>50</v>
      </c>
      <c r="K301">
        <v>1</v>
      </c>
    </row>
    <row r="302" spans="1:11" x14ac:dyDescent="0.25">
      <c r="A302">
        <v>301</v>
      </c>
      <c r="B302">
        <v>8075</v>
      </c>
      <c r="C302">
        <v>50</v>
      </c>
      <c r="D302">
        <v>21</v>
      </c>
      <c r="E302">
        <v>5</v>
      </c>
      <c r="F302">
        <v>60000</v>
      </c>
      <c r="G302">
        <v>3383.5443781245349</v>
      </c>
      <c r="H302">
        <v>0.14041112205886819</v>
      </c>
      <c r="I302">
        <v>0.17460468759174161</v>
      </c>
      <c r="J302">
        <f>50</f>
        <v>50</v>
      </c>
      <c r="K302">
        <v>1</v>
      </c>
    </row>
    <row r="303" spans="1:11" x14ac:dyDescent="0.25">
      <c r="A303">
        <v>302</v>
      </c>
      <c r="B303">
        <v>8125</v>
      </c>
      <c r="C303">
        <v>50</v>
      </c>
      <c r="D303">
        <v>21</v>
      </c>
      <c r="E303">
        <v>5</v>
      </c>
      <c r="F303">
        <v>60000</v>
      </c>
      <c r="G303">
        <v>3394.127342419662</v>
      </c>
      <c r="H303">
        <v>0.14041112205886819</v>
      </c>
      <c r="I303">
        <v>0.17460468759174161</v>
      </c>
      <c r="J303">
        <f>50</f>
        <v>50</v>
      </c>
      <c r="K303">
        <v>1</v>
      </c>
    </row>
    <row r="304" spans="1:11" x14ac:dyDescent="0.25">
      <c r="A304">
        <v>303</v>
      </c>
      <c r="B304">
        <v>8175</v>
      </c>
      <c r="C304">
        <v>50</v>
      </c>
      <c r="D304">
        <v>21</v>
      </c>
      <c r="E304">
        <v>5</v>
      </c>
      <c r="F304">
        <v>60000</v>
      </c>
      <c r="G304">
        <v>3404.7103067147882</v>
      </c>
      <c r="H304">
        <v>0.14041112205886819</v>
      </c>
      <c r="I304">
        <v>0.17460468759174161</v>
      </c>
      <c r="J304">
        <f>50</f>
        <v>50</v>
      </c>
      <c r="K304">
        <v>1</v>
      </c>
    </row>
    <row r="305" spans="1:11" x14ac:dyDescent="0.25">
      <c r="A305">
        <v>304</v>
      </c>
      <c r="B305">
        <v>8225</v>
      </c>
      <c r="C305">
        <v>50</v>
      </c>
      <c r="D305">
        <v>21</v>
      </c>
      <c r="E305">
        <v>5</v>
      </c>
      <c r="F305">
        <v>60000</v>
      </c>
      <c r="G305">
        <v>3415.2932710099149</v>
      </c>
      <c r="H305">
        <v>0.14041112205886819</v>
      </c>
      <c r="I305">
        <v>0.17460468759174161</v>
      </c>
      <c r="J305">
        <f>50</f>
        <v>50</v>
      </c>
      <c r="K305">
        <v>1</v>
      </c>
    </row>
    <row r="306" spans="1:11" x14ac:dyDescent="0.25">
      <c r="A306">
        <v>305</v>
      </c>
      <c r="B306">
        <v>8275</v>
      </c>
      <c r="C306">
        <v>50</v>
      </c>
      <c r="D306">
        <v>21</v>
      </c>
      <c r="E306">
        <v>5</v>
      </c>
      <c r="F306">
        <v>60000</v>
      </c>
      <c r="G306">
        <v>3425.876235305042</v>
      </c>
      <c r="H306">
        <v>0.14041112205886819</v>
      </c>
      <c r="I306">
        <v>0.17460468759174161</v>
      </c>
      <c r="J306">
        <f>50</f>
        <v>50</v>
      </c>
      <c r="K306">
        <v>1</v>
      </c>
    </row>
    <row r="307" spans="1:11" x14ac:dyDescent="0.25">
      <c r="A307">
        <v>306</v>
      </c>
      <c r="B307">
        <v>8325</v>
      </c>
      <c r="C307">
        <v>50</v>
      </c>
      <c r="D307">
        <v>21</v>
      </c>
      <c r="E307">
        <v>5</v>
      </c>
      <c r="F307">
        <v>60000</v>
      </c>
      <c r="G307">
        <v>3436.4591996001691</v>
      </c>
      <c r="H307">
        <v>0.14041112205886819</v>
      </c>
      <c r="I307">
        <v>0.17460468759174161</v>
      </c>
      <c r="J307">
        <f>50</f>
        <v>50</v>
      </c>
      <c r="K307">
        <v>1</v>
      </c>
    </row>
    <row r="308" spans="1:11" x14ac:dyDescent="0.25">
      <c r="A308">
        <v>307</v>
      </c>
      <c r="B308">
        <v>8375</v>
      </c>
      <c r="C308">
        <v>50</v>
      </c>
      <c r="D308">
        <v>21</v>
      </c>
      <c r="E308">
        <v>5</v>
      </c>
      <c r="F308">
        <v>60000</v>
      </c>
      <c r="G308">
        <v>3447.0421638952948</v>
      </c>
      <c r="H308">
        <v>0.14041112205886819</v>
      </c>
      <c r="I308">
        <v>0.17460468759174161</v>
      </c>
      <c r="J308">
        <f>50</f>
        <v>50</v>
      </c>
      <c r="K308">
        <v>1</v>
      </c>
    </row>
    <row r="309" spans="1:11" x14ac:dyDescent="0.25">
      <c r="A309">
        <v>308</v>
      </c>
      <c r="B309">
        <v>8425</v>
      </c>
      <c r="C309">
        <v>50</v>
      </c>
      <c r="D309">
        <v>21</v>
      </c>
      <c r="E309">
        <v>5</v>
      </c>
      <c r="F309">
        <v>60000</v>
      </c>
      <c r="G309">
        <v>3457.6251281904219</v>
      </c>
      <c r="H309">
        <v>0.14041112205886819</v>
      </c>
      <c r="I309">
        <v>0.17460468759174161</v>
      </c>
      <c r="J309">
        <f>50</f>
        <v>50</v>
      </c>
      <c r="K309">
        <v>1</v>
      </c>
    </row>
    <row r="310" spans="1:11" x14ac:dyDescent="0.25">
      <c r="A310">
        <v>309</v>
      </c>
      <c r="B310">
        <v>8475</v>
      </c>
      <c r="C310">
        <v>50</v>
      </c>
      <c r="D310">
        <v>21</v>
      </c>
      <c r="E310">
        <v>5</v>
      </c>
      <c r="F310">
        <v>60000</v>
      </c>
      <c r="G310">
        <v>3468.2080924855491</v>
      </c>
      <c r="H310">
        <v>0.14041112205886819</v>
      </c>
      <c r="I310">
        <v>0.17460468759174161</v>
      </c>
      <c r="J310">
        <f>50</f>
        <v>50</v>
      </c>
      <c r="K3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Profile</vt:lpstr>
      <vt:lpstr>195m_Profile</vt:lpstr>
      <vt:lpstr>CESMD_Profile</vt:lpstr>
      <vt:lpstr>Data Analysis</vt:lpstr>
      <vt:lpstr>Scaled_Dmin_to_Kappa_0.036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Xia</cp:lastModifiedBy>
  <dcterms:created xsi:type="dcterms:W3CDTF">2026-02-23T02:19:29Z</dcterms:created>
  <dcterms:modified xsi:type="dcterms:W3CDTF">2026-07-22T07:07:59Z</dcterms:modified>
</cp:coreProperties>
</file>